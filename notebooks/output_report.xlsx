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tudy\Data Analysis\capstone\Case Study 1\"/>
    </mc:Choice>
  </mc:AlternateContent>
  <xr:revisionPtr revIDLastSave="0" documentId="13_ncr:1_{5F235BAE-6B37-466E-AB1C-1FF5431300FF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columnnames" sheetId="1" r:id="rId1"/>
    <sheet name="compare" sheetId="4" r:id="rId2"/>
    <sheet name="datatypes" sheetId="2" r:id="rId3"/>
    <sheet name="datasample" sheetId="3" r:id="rId4"/>
  </sheets>
  <definedNames>
    <definedName name="_xlnm._FilterDatabase" localSheetId="0" hidden="1">columnnames!$A$1:$O$113</definedName>
    <definedName name="_xlnm._FilterDatabase" localSheetId="1" hidden="1">compare!$A$1:$O$113</definedName>
    <definedName name="_xlnm._FilterDatabase" localSheetId="3" hidden="1">datasample!$A$1:$O$113</definedName>
    <definedName name="_xlnm._FilterDatabase" localSheetId="2" hidden="1">datatypes!$A$1:$O$113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0" i="4" l="1"/>
  <c r="D3" i="4"/>
  <c r="E3" i="4"/>
  <c r="F3" i="4"/>
  <c r="G3" i="4"/>
  <c r="H3" i="4"/>
  <c r="I3" i="4"/>
  <c r="J3" i="4"/>
  <c r="K3" i="4"/>
  <c r="L3" i="4"/>
  <c r="M3" i="4"/>
  <c r="N3" i="4"/>
  <c r="O3" i="4"/>
  <c r="D4" i="4"/>
  <c r="E4" i="4"/>
  <c r="F4" i="4"/>
  <c r="G4" i="4"/>
  <c r="H4" i="4"/>
  <c r="I4" i="4"/>
  <c r="J4" i="4"/>
  <c r="K4" i="4"/>
  <c r="L4" i="4"/>
  <c r="M4" i="4"/>
  <c r="N4" i="4"/>
  <c r="O4" i="4"/>
  <c r="D5" i="4"/>
  <c r="E5" i="4"/>
  <c r="F5" i="4"/>
  <c r="G5" i="4"/>
  <c r="H5" i="4"/>
  <c r="I5" i="4"/>
  <c r="J5" i="4"/>
  <c r="K5" i="4"/>
  <c r="L5" i="4"/>
  <c r="M5" i="4"/>
  <c r="N5" i="4"/>
  <c r="O5" i="4"/>
  <c r="D6" i="4"/>
  <c r="E6" i="4"/>
  <c r="F6" i="4"/>
  <c r="G6" i="4"/>
  <c r="H6" i="4"/>
  <c r="I6" i="4"/>
  <c r="J6" i="4"/>
  <c r="K6" i="4"/>
  <c r="L6" i="4"/>
  <c r="M6" i="4"/>
  <c r="N6" i="4"/>
  <c r="O6" i="4"/>
  <c r="D7" i="4"/>
  <c r="E7" i="4"/>
  <c r="F7" i="4"/>
  <c r="G7" i="4"/>
  <c r="H7" i="4"/>
  <c r="I7" i="4"/>
  <c r="J7" i="4"/>
  <c r="K7" i="4"/>
  <c r="L7" i="4"/>
  <c r="M7" i="4"/>
  <c r="N7" i="4"/>
  <c r="O7" i="4"/>
  <c r="D8" i="4"/>
  <c r="E8" i="4"/>
  <c r="F8" i="4"/>
  <c r="G8" i="4"/>
  <c r="H8" i="4"/>
  <c r="I8" i="4"/>
  <c r="J8" i="4"/>
  <c r="K8" i="4"/>
  <c r="L8" i="4"/>
  <c r="M8" i="4"/>
  <c r="N8" i="4"/>
  <c r="O8" i="4"/>
  <c r="D9" i="4"/>
  <c r="E9" i="4"/>
  <c r="F9" i="4"/>
  <c r="G9" i="4"/>
  <c r="H9" i="4"/>
  <c r="I9" i="4"/>
  <c r="J9" i="4"/>
  <c r="K9" i="4"/>
  <c r="L9" i="4"/>
  <c r="M9" i="4"/>
  <c r="N9" i="4"/>
  <c r="O9" i="4"/>
  <c r="D10" i="4"/>
  <c r="E10" i="4"/>
  <c r="F10" i="4"/>
  <c r="G10" i="4"/>
  <c r="H10" i="4"/>
  <c r="I10" i="4"/>
  <c r="J10" i="4"/>
  <c r="K10" i="4"/>
  <c r="L10" i="4"/>
  <c r="M10" i="4"/>
  <c r="N10" i="4"/>
  <c r="O10" i="4"/>
  <c r="D11" i="4"/>
  <c r="E11" i="4"/>
  <c r="F11" i="4"/>
  <c r="G11" i="4"/>
  <c r="H11" i="4"/>
  <c r="I11" i="4"/>
  <c r="J11" i="4"/>
  <c r="K11" i="4"/>
  <c r="L11" i="4"/>
  <c r="M11" i="4"/>
  <c r="N11" i="4"/>
  <c r="O11" i="4"/>
  <c r="D12" i="4"/>
  <c r="E12" i="4"/>
  <c r="F12" i="4"/>
  <c r="G12" i="4"/>
  <c r="H12" i="4"/>
  <c r="I12" i="4"/>
  <c r="J12" i="4"/>
  <c r="K12" i="4"/>
  <c r="L12" i="4"/>
  <c r="M12" i="4"/>
  <c r="N12" i="4"/>
  <c r="O12" i="4"/>
  <c r="D13" i="4"/>
  <c r="E13" i="4"/>
  <c r="F13" i="4"/>
  <c r="G13" i="4"/>
  <c r="H13" i="4"/>
  <c r="I13" i="4"/>
  <c r="J13" i="4"/>
  <c r="K13" i="4"/>
  <c r="L13" i="4"/>
  <c r="M13" i="4"/>
  <c r="N13" i="4"/>
  <c r="O13" i="4"/>
  <c r="D14" i="4"/>
  <c r="E14" i="4"/>
  <c r="F14" i="4"/>
  <c r="G14" i="4"/>
  <c r="H14" i="4"/>
  <c r="I14" i="4"/>
  <c r="J14" i="4"/>
  <c r="K14" i="4"/>
  <c r="L14" i="4"/>
  <c r="M14" i="4"/>
  <c r="N14" i="4"/>
  <c r="O14" i="4"/>
  <c r="D15" i="4"/>
  <c r="E15" i="4"/>
  <c r="F15" i="4"/>
  <c r="G15" i="4"/>
  <c r="H15" i="4"/>
  <c r="I15" i="4"/>
  <c r="J15" i="4"/>
  <c r="K15" i="4"/>
  <c r="L15" i="4"/>
  <c r="M15" i="4"/>
  <c r="N15" i="4"/>
  <c r="O15" i="4"/>
  <c r="D16" i="4"/>
  <c r="E16" i="4"/>
  <c r="F16" i="4"/>
  <c r="G16" i="4"/>
  <c r="H16" i="4"/>
  <c r="I16" i="4"/>
  <c r="J16" i="4"/>
  <c r="K16" i="4"/>
  <c r="L16" i="4"/>
  <c r="M16" i="4"/>
  <c r="N16" i="4"/>
  <c r="O16" i="4"/>
  <c r="D17" i="4"/>
  <c r="E17" i="4"/>
  <c r="F17" i="4"/>
  <c r="G17" i="4"/>
  <c r="H17" i="4"/>
  <c r="I17" i="4"/>
  <c r="J17" i="4"/>
  <c r="K17" i="4"/>
  <c r="L17" i="4"/>
  <c r="M17" i="4"/>
  <c r="N17" i="4"/>
  <c r="O17" i="4"/>
  <c r="D18" i="4"/>
  <c r="E18" i="4"/>
  <c r="F18" i="4"/>
  <c r="G18" i="4"/>
  <c r="H18" i="4"/>
  <c r="I18" i="4"/>
  <c r="J18" i="4"/>
  <c r="K18" i="4"/>
  <c r="L18" i="4"/>
  <c r="M18" i="4"/>
  <c r="N18" i="4"/>
  <c r="O18" i="4"/>
  <c r="D19" i="4"/>
  <c r="E19" i="4"/>
  <c r="F19" i="4"/>
  <c r="G19" i="4"/>
  <c r="H19" i="4"/>
  <c r="I19" i="4"/>
  <c r="J19" i="4"/>
  <c r="K19" i="4"/>
  <c r="L19" i="4"/>
  <c r="M19" i="4"/>
  <c r="N19" i="4"/>
  <c r="O19" i="4"/>
  <c r="D20" i="4"/>
  <c r="E20" i="4"/>
  <c r="F20" i="4"/>
  <c r="G20" i="4"/>
  <c r="H20" i="4"/>
  <c r="I20" i="4"/>
  <c r="J20" i="4"/>
  <c r="K20" i="4"/>
  <c r="L20" i="4"/>
  <c r="M20" i="4"/>
  <c r="N20" i="4"/>
  <c r="O20" i="4"/>
  <c r="D21" i="4"/>
  <c r="E21" i="4"/>
  <c r="F21" i="4"/>
  <c r="G21" i="4"/>
  <c r="H21" i="4"/>
  <c r="I21" i="4"/>
  <c r="J21" i="4"/>
  <c r="K21" i="4"/>
  <c r="L21" i="4"/>
  <c r="M21" i="4"/>
  <c r="N21" i="4"/>
  <c r="O21" i="4"/>
  <c r="D22" i="4"/>
  <c r="E22" i="4"/>
  <c r="F22" i="4"/>
  <c r="G22" i="4"/>
  <c r="H22" i="4"/>
  <c r="I22" i="4"/>
  <c r="J22" i="4"/>
  <c r="K22" i="4"/>
  <c r="L22" i="4"/>
  <c r="M22" i="4"/>
  <c r="N22" i="4"/>
  <c r="O22" i="4"/>
  <c r="D23" i="4"/>
  <c r="E23" i="4"/>
  <c r="F23" i="4"/>
  <c r="G23" i="4"/>
  <c r="H23" i="4"/>
  <c r="I23" i="4"/>
  <c r="J23" i="4"/>
  <c r="K23" i="4"/>
  <c r="L23" i="4"/>
  <c r="M23" i="4"/>
  <c r="N23" i="4"/>
  <c r="O23" i="4"/>
  <c r="D24" i="4"/>
  <c r="E24" i="4"/>
  <c r="F24" i="4"/>
  <c r="G24" i="4"/>
  <c r="H24" i="4"/>
  <c r="I24" i="4"/>
  <c r="J24" i="4"/>
  <c r="K24" i="4"/>
  <c r="L24" i="4"/>
  <c r="M24" i="4"/>
  <c r="N24" i="4"/>
  <c r="O24" i="4"/>
  <c r="D25" i="4"/>
  <c r="E25" i="4"/>
  <c r="F25" i="4"/>
  <c r="G25" i="4"/>
  <c r="H25" i="4"/>
  <c r="I25" i="4"/>
  <c r="J25" i="4"/>
  <c r="K25" i="4"/>
  <c r="L25" i="4"/>
  <c r="M25" i="4"/>
  <c r="N25" i="4"/>
  <c r="O25" i="4"/>
  <c r="D26" i="4"/>
  <c r="E26" i="4"/>
  <c r="F26" i="4"/>
  <c r="G26" i="4"/>
  <c r="H26" i="4"/>
  <c r="I26" i="4"/>
  <c r="J26" i="4"/>
  <c r="K26" i="4"/>
  <c r="L26" i="4"/>
  <c r="M26" i="4"/>
  <c r="N26" i="4"/>
  <c r="O26" i="4"/>
  <c r="D27" i="4"/>
  <c r="E27" i="4"/>
  <c r="F27" i="4"/>
  <c r="G27" i="4"/>
  <c r="H27" i="4"/>
  <c r="I27" i="4"/>
  <c r="J27" i="4"/>
  <c r="K27" i="4"/>
  <c r="L27" i="4"/>
  <c r="M27" i="4"/>
  <c r="N27" i="4"/>
  <c r="O27" i="4"/>
  <c r="D28" i="4"/>
  <c r="E28" i="4"/>
  <c r="F28" i="4"/>
  <c r="G28" i="4"/>
  <c r="H28" i="4"/>
  <c r="I28" i="4"/>
  <c r="J28" i="4"/>
  <c r="K28" i="4"/>
  <c r="L28" i="4"/>
  <c r="M28" i="4"/>
  <c r="N28" i="4"/>
  <c r="O28" i="4"/>
  <c r="D29" i="4"/>
  <c r="E29" i="4"/>
  <c r="F29" i="4"/>
  <c r="G29" i="4"/>
  <c r="H29" i="4"/>
  <c r="I29" i="4"/>
  <c r="J29" i="4"/>
  <c r="K29" i="4"/>
  <c r="L29" i="4"/>
  <c r="M29" i="4"/>
  <c r="N29" i="4"/>
  <c r="O29" i="4"/>
  <c r="D30" i="4"/>
  <c r="E30" i="4"/>
  <c r="F30" i="4"/>
  <c r="G30" i="4"/>
  <c r="H30" i="4"/>
  <c r="I30" i="4"/>
  <c r="J30" i="4"/>
  <c r="K30" i="4"/>
  <c r="L30" i="4"/>
  <c r="M30" i="4"/>
  <c r="N30" i="4"/>
  <c r="O30" i="4"/>
  <c r="D31" i="4"/>
  <c r="E31" i="4"/>
  <c r="F31" i="4"/>
  <c r="G31" i="4"/>
  <c r="H31" i="4"/>
  <c r="I31" i="4"/>
  <c r="J31" i="4"/>
  <c r="K31" i="4"/>
  <c r="L31" i="4"/>
  <c r="M31" i="4"/>
  <c r="N31" i="4"/>
  <c r="O31" i="4"/>
  <c r="D32" i="4"/>
  <c r="E32" i="4"/>
  <c r="F32" i="4"/>
  <c r="G32" i="4"/>
  <c r="H32" i="4"/>
  <c r="I32" i="4"/>
  <c r="J32" i="4"/>
  <c r="K32" i="4"/>
  <c r="L32" i="4"/>
  <c r="M32" i="4"/>
  <c r="N32" i="4"/>
  <c r="O32" i="4"/>
  <c r="D33" i="4"/>
  <c r="E33" i="4"/>
  <c r="F33" i="4"/>
  <c r="G33" i="4"/>
  <c r="H33" i="4"/>
  <c r="I33" i="4"/>
  <c r="J33" i="4"/>
  <c r="K33" i="4"/>
  <c r="L33" i="4"/>
  <c r="M33" i="4"/>
  <c r="N33" i="4"/>
  <c r="O33" i="4"/>
  <c r="D34" i="4"/>
  <c r="E34" i="4"/>
  <c r="F34" i="4"/>
  <c r="G34" i="4"/>
  <c r="H34" i="4"/>
  <c r="I34" i="4"/>
  <c r="J34" i="4"/>
  <c r="K34" i="4"/>
  <c r="L34" i="4"/>
  <c r="M34" i="4"/>
  <c r="N34" i="4"/>
  <c r="O34" i="4"/>
  <c r="D35" i="4"/>
  <c r="E35" i="4"/>
  <c r="F35" i="4"/>
  <c r="G35" i="4"/>
  <c r="H35" i="4"/>
  <c r="I35" i="4"/>
  <c r="J35" i="4"/>
  <c r="K35" i="4"/>
  <c r="L35" i="4"/>
  <c r="M35" i="4"/>
  <c r="N35" i="4"/>
  <c r="O35" i="4"/>
  <c r="D36" i="4"/>
  <c r="E36" i="4"/>
  <c r="F36" i="4"/>
  <c r="G36" i="4"/>
  <c r="H36" i="4"/>
  <c r="I36" i="4"/>
  <c r="J36" i="4"/>
  <c r="K36" i="4"/>
  <c r="L36" i="4"/>
  <c r="M36" i="4"/>
  <c r="N36" i="4"/>
  <c r="O36" i="4"/>
  <c r="D37" i="4"/>
  <c r="E37" i="4"/>
  <c r="F37" i="4"/>
  <c r="G37" i="4"/>
  <c r="H37" i="4"/>
  <c r="I37" i="4"/>
  <c r="J37" i="4"/>
  <c r="K37" i="4"/>
  <c r="L37" i="4"/>
  <c r="M37" i="4"/>
  <c r="N37" i="4"/>
  <c r="O37" i="4"/>
  <c r="D38" i="4"/>
  <c r="E38" i="4"/>
  <c r="F38" i="4"/>
  <c r="G38" i="4"/>
  <c r="H38" i="4"/>
  <c r="I38" i="4"/>
  <c r="J38" i="4"/>
  <c r="K38" i="4"/>
  <c r="L38" i="4"/>
  <c r="M38" i="4"/>
  <c r="N38" i="4"/>
  <c r="O38" i="4"/>
  <c r="D39" i="4"/>
  <c r="E39" i="4"/>
  <c r="F39" i="4"/>
  <c r="G39" i="4"/>
  <c r="H39" i="4"/>
  <c r="I39" i="4"/>
  <c r="J39" i="4"/>
  <c r="K39" i="4"/>
  <c r="L39" i="4"/>
  <c r="M39" i="4"/>
  <c r="N39" i="4"/>
  <c r="O39" i="4"/>
  <c r="D40" i="4"/>
  <c r="E40" i="4"/>
  <c r="F40" i="4"/>
  <c r="G40" i="4"/>
  <c r="H40" i="4"/>
  <c r="I40" i="4"/>
  <c r="J40" i="4"/>
  <c r="K40" i="4"/>
  <c r="L40" i="4"/>
  <c r="M40" i="4"/>
  <c r="N40" i="4"/>
  <c r="O40" i="4"/>
  <c r="D41" i="4"/>
  <c r="E41" i="4"/>
  <c r="F41" i="4"/>
  <c r="G41" i="4"/>
  <c r="H41" i="4"/>
  <c r="I41" i="4"/>
  <c r="J41" i="4"/>
  <c r="K41" i="4"/>
  <c r="L41" i="4"/>
  <c r="M41" i="4"/>
  <c r="N41" i="4"/>
  <c r="O41" i="4"/>
  <c r="D42" i="4"/>
  <c r="E42" i="4"/>
  <c r="F42" i="4"/>
  <c r="G42" i="4"/>
  <c r="H42" i="4"/>
  <c r="I42" i="4"/>
  <c r="J42" i="4"/>
  <c r="K42" i="4"/>
  <c r="L42" i="4"/>
  <c r="M42" i="4"/>
  <c r="N42" i="4"/>
  <c r="O42" i="4"/>
  <c r="D43" i="4"/>
  <c r="E43" i="4"/>
  <c r="F43" i="4"/>
  <c r="G43" i="4"/>
  <c r="H43" i="4"/>
  <c r="I43" i="4"/>
  <c r="J43" i="4"/>
  <c r="K43" i="4"/>
  <c r="L43" i="4"/>
  <c r="M43" i="4"/>
  <c r="N43" i="4"/>
  <c r="O43" i="4"/>
  <c r="D44" i="4"/>
  <c r="E44" i="4"/>
  <c r="F44" i="4"/>
  <c r="G44" i="4"/>
  <c r="H44" i="4"/>
  <c r="I44" i="4"/>
  <c r="J44" i="4"/>
  <c r="K44" i="4"/>
  <c r="L44" i="4"/>
  <c r="M44" i="4"/>
  <c r="N44" i="4"/>
  <c r="O44" i="4"/>
  <c r="D45" i="4"/>
  <c r="E45" i="4"/>
  <c r="F45" i="4"/>
  <c r="G45" i="4"/>
  <c r="H45" i="4"/>
  <c r="I45" i="4"/>
  <c r="J45" i="4"/>
  <c r="K45" i="4"/>
  <c r="L45" i="4"/>
  <c r="M45" i="4"/>
  <c r="N45" i="4"/>
  <c r="O45" i="4"/>
  <c r="D46" i="4"/>
  <c r="E46" i="4"/>
  <c r="F46" i="4"/>
  <c r="G46" i="4"/>
  <c r="H46" i="4"/>
  <c r="I46" i="4"/>
  <c r="J46" i="4"/>
  <c r="K46" i="4"/>
  <c r="L46" i="4"/>
  <c r="M46" i="4"/>
  <c r="N46" i="4"/>
  <c r="O46" i="4"/>
  <c r="D47" i="4"/>
  <c r="E47" i="4"/>
  <c r="F47" i="4"/>
  <c r="G47" i="4"/>
  <c r="H47" i="4"/>
  <c r="I47" i="4"/>
  <c r="J47" i="4"/>
  <c r="K47" i="4"/>
  <c r="L47" i="4"/>
  <c r="M47" i="4"/>
  <c r="N47" i="4"/>
  <c r="O47" i="4"/>
  <c r="D48" i="4"/>
  <c r="E48" i="4"/>
  <c r="F48" i="4"/>
  <c r="G48" i="4"/>
  <c r="H48" i="4"/>
  <c r="I48" i="4"/>
  <c r="J48" i="4"/>
  <c r="K48" i="4"/>
  <c r="L48" i="4"/>
  <c r="M48" i="4"/>
  <c r="N48" i="4"/>
  <c r="O48" i="4"/>
  <c r="D49" i="4"/>
  <c r="E49" i="4"/>
  <c r="F49" i="4"/>
  <c r="G49" i="4"/>
  <c r="H49" i="4"/>
  <c r="I49" i="4"/>
  <c r="J49" i="4"/>
  <c r="K49" i="4"/>
  <c r="L49" i="4"/>
  <c r="M49" i="4"/>
  <c r="N49" i="4"/>
  <c r="O49" i="4"/>
  <c r="D50" i="4"/>
  <c r="E50" i="4"/>
  <c r="F50" i="4"/>
  <c r="G50" i="4"/>
  <c r="H50" i="4"/>
  <c r="I50" i="4"/>
  <c r="J50" i="4"/>
  <c r="K50" i="4"/>
  <c r="L50" i="4"/>
  <c r="M50" i="4"/>
  <c r="N50" i="4"/>
  <c r="O50" i="4"/>
  <c r="D51" i="4"/>
  <c r="E51" i="4"/>
  <c r="F51" i="4"/>
  <c r="G51" i="4"/>
  <c r="H51" i="4"/>
  <c r="I51" i="4"/>
  <c r="J51" i="4"/>
  <c r="K51" i="4"/>
  <c r="L51" i="4"/>
  <c r="M51" i="4"/>
  <c r="N51" i="4"/>
  <c r="O51" i="4"/>
  <c r="D52" i="4"/>
  <c r="E52" i="4"/>
  <c r="F52" i="4"/>
  <c r="G52" i="4"/>
  <c r="H52" i="4"/>
  <c r="I52" i="4"/>
  <c r="J52" i="4"/>
  <c r="K52" i="4"/>
  <c r="L52" i="4"/>
  <c r="M52" i="4"/>
  <c r="N52" i="4"/>
  <c r="O52" i="4"/>
  <c r="D53" i="4"/>
  <c r="E53" i="4"/>
  <c r="F53" i="4"/>
  <c r="G53" i="4"/>
  <c r="H53" i="4"/>
  <c r="I53" i="4"/>
  <c r="J53" i="4"/>
  <c r="K53" i="4"/>
  <c r="L53" i="4"/>
  <c r="M53" i="4"/>
  <c r="N53" i="4"/>
  <c r="O53" i="4"/>
  <c r="D54" i="4"/>
  <c r="E54" i="4"/>
  <c r="F54" i="4"/>
  <c r="G54" i="4"/>
  <c r="H54" i="4"/>
  <c r="I54" i="4"/>
  <c r="J54" i="4"/>
  <c r="K54" i="4"/>
  <c r="L54" i="4"/>
  <c r="M54" i="4"/>
  <c r="N54" i="4"/>
  <c r="O54" i="4"/>
  <c r="D55" i="4"/>
  <c r="E55" i="4"/>
  <c r="F55" i="4"/>
  <c r="G55" i="4"/>
  <c r="H55" i="4"/>
  <c r="I55" i="4"/>
  <c r="J55" i="4"/>
  <c r="K55" i="4"/>
  <c r="L55" i="4"/>
  <c r="M55" i="4"/>
  <c r="N55" i="4"/>
  <c r="O55" i="4"/>
  <c r="D56" i="4"/>
  <c r="E56" i="4"/>
  <c r="F56" i="4"/>
  <c r="G56" i="4"/>
  <c r="H56" i="4"/>
  <c r="I56" i="4"/>
  <c r="J56" i="4"/>
  <c r="K56" i="4"/>
  <c r="L56" i="4"/>
  <c r="M56" i="4"/>
  <c r="N56" i="4"/>
  <c r="O56" i="4"/>
  <c r="D57" i="4"/>
  <c r="E57" i="4"/>
  <c r="F57" i="4"/>
  <c r="G57" i="4"/>
  <c r="H57" i="4"/>
  <c r="I57" i="4"/>
  <c r="J57" i="4"/>
  <c r="K57" i="4"/>
  <c r="L57" i="4"/>
  <c r="M57" i="4"/>
  <c r="N57" i="4"/>
  <c r="O57" i="4"/>
  <c r="D58" i="4"/>
  <c r="E58" i="4"/>
  <c r="F58" i="4"/>
  <c r="G58" i="4"/>
  <c r="H58" i="4"/>
  <c r="I58" i="4"/>
  <c r="J58" i="4"/>
  <c r="K58" i="4"/>
  <c r="L58" i="4"/>
  <c r="M58" i="4"/>
  <c r="N58" i="4"/>
  <c r="O58" i="4"/>
  <c r="D59" i="4"/>
  <c r="E59" i="4"/>
  <c r="F59" i="4"/>
  <c r="G59" i="4"/>
  <c r="H59" i="4"/>
  <c r="I59" i="4"/>
  <c r="J59" i="4"/>
  <c r="K59" i="4"/>
  <c r="L59" i="4"/>
  <c r="M59" i="4"/>
  <c r="N59" i="4"/>
  <c r="O59" i="4"/>
  <c r="D60" i="4"/>
  <c r="E60" i="4"/>
  <c r="F60" i="4"/>
  <c r="G60" i="4"/>
  <c r="H60" i="4"/>
  <c r="I60" i="4"/>
  <c r="J60" i="4"/>
  <c r="K60" i="4"/>
  <c r="L60" i="4"/>
  <c r="M60" i="4"/>
  <c r="N60" i="4"/>
  <c r="O60" i="4"/>
  <c r="D61" i="4"/>
  <c r="E61" i="4"/>
  <c r="F61" i="4"/>
  <c r="G61" i="4"/>
  <c r="H61" i="4"/>
  <c r="I61" i="4"/>
  <c r="J61" i="4"/>
  <c r="K61" i="4"/>
  <c r="L61" i="4"/>
  <c r="M61" i="4"/>
  <c r="N61" i="4"/>
  <c r="O61" i="4"/>
  <c r="D62" i="4"/>
  <c r="E62" i="4"/>
  <c r="F62" i="4"/>
  <c r="G62" i="4"/>
  <c r="H62" i="4"/>
  <c r="I62" i="4"/>
  <c r="J62" i="4"/>
  <c r="K62" i="4"/>
  <c r="L62" i="4"/>
  <c r="M62" i="4"/>
  <c r="N62" i="4"/>
  <c r="O62" i="4"/>
  <c r="D63" i="4"/>
  <c r="E63" i="4"/>
  <c r="F63" i="4"/>
  <c r="G63" i="4"/>
  <c r="H63" i="4"/>
  <c r="I63" i="4"/>
  <c r="J63" i="4"/>
  <c r="K63" i="4"/>
  <c r="L63" i="4"/>
  <c r="M63" i="4"/>
  <c r="N63" i="4"/>
  <c r="O63" i="4"/>
  <c r="D64" i="4"/>
  <c r="E64" i="4"/>
  <c r="F64" i="4"/>
  <c r="G64" i="4"/>
  <c r="H64" i="4"/>
  <c r="I64" i="4"/>
  <c r="J64" i="4"/>
  <c r="K64" i="4"/>
  <c r="L64" i="4"/>
  <c r="M64" i="4"/>
  <c r="N64" i="4"/>
  <c r="O64" i="4"/>
  <c r="D65" i="4"/>
  <c r="E65" i="4"/>
  <c r="F65" i="4"/>
  <c r="G65" i="4"/>
  <c r="H65" i="4"/>
  <c r="I65" i="4"/>
  <c r="J65" i="4"/>
  <c r="K65" i="4"/>
  <c r="L65" i="4"/>
  <c r="M65" i="4"/>
  <c r="N65" i="4"/>
  <c r="O65" i="4"/>
  <c r="D66" i="4"/>
  <c r="E66" i="4"/>
  <c r="F66" i="4"/>
  <c r="G66" i="4"/>
  <c r="H66" i="4"/>
  <c r="I66" i="4"/>
  <c r="J66" i="4"/>
  <c r="K66" i="4"/>
  <c r="L66" i="4"/>
  <c r="M66" i="4"/>
  <c r="N66" i="4"/>
  <c r="O66" i="4"/>
  <c r="D67" i="4"/>
  <c r="E67" i="4"/>
  <c r="F67" i="4"/>
  <c r="G67" i="4"/>
  <c r="H67" i="4"/>
  <c r="I67" i="4"/>
  <c r="J67" i="4"/>
  <c r="K67" i="4"/>
  <c r="L67" i="4"/>
  <c r="M67" i="4"/>
  <c r="N67" i="4"/>
  <c r="O67" i="4"/>
  <c r="D68" i="4"/>
  <c r="E68" i="4"/>
  <c r="F68" i="4"/>
  <c r="G68" i="4"/>
  <c r="H68" i="4"/>
  <c r="I68" i="4"/>
  <c r="J68" i="4"/>
  <c r="K68" i="4"/>
  <c r="L68" i="4"/>
  <c r="M68" i="4"/>
  <c r="N68" i="4"/>
  <c r="O68" i="4"/>
  <c r="D69" i="4"/>
  <c r="E69" i="4"/>
  <c r="F69" i="4"/>
  <c r="G69" i="4"/>
  <c r="H69" i="4"/>
  <c r="I69" i="4"/>
  <c r="J69" i="4"/>
  <c r="K69" i="4"/>
  <c r="L69" i="4"/>
  <c r="M69" i="4"/>
  <c r="N69" i="4"/>
  <c r="O69" i="4"/>
  <c r="D70" i="4"/>
  <c r="E70" i="4"/>
  <c r="F70" i="4"/>
  <c r="G70" i="4"/>
  <c r="H70" i="4"/>
  <c r="I70" i="4"/>
  <c r="J70" i="4"/>
  <c r="K70" i="4"/>
  <c r="L70" i="4"/>
  <c r="M70" i="4"/>
  <c r="N70" i="4"/>
  <c r="O70" i="4"/>
  <c r="D71" i="4"/>
  <c r="E71" i="4"/>
  <c r="F71" i="4"/>
  <c r="G71" i="4"/>
  <c r="H71" i="4"/>
  <c r="I71" i="4"/>
  <c r="J71" i="4"/>
  <c r="K71" i="4"/>
  <c r="L71" i="4"/>
  <c r="M71" i="4"/>
  <c r="N71" i="4"/>
  <c r="O71" i="4"/>
  <c r="D72" i="4"/>
  <c r="E72" i="4"/>
  <c r="F72" i="4"/>
  <c r="G72" i="4"/>
  <c r="H72" i="4"/>
  <c r="I72" i="4"/>
  <c r="J72" i="4"/>
  <c r="K72" i="4"/>
  <c r="L72" i="4"/>
  <c r="M72" i="4"/>
  <c r="N72" i="4"/>
  <c r="O72" i="4"/>
  <c r="D73" i="4"/>
  <c r="E73" i="4"/>
  <c r="F73" i="4"/>
  <c r="G73" i="4"/>
  <c r="H73" i="4"/>
  <c r="I73" i="4"/>
  <c r="J73" i="4"/>
  <c r="K73" i="4"/>
  <c r="L73" i="4"/>
  <c r="M73" i="4"/>
  <c r="N73" i="4"/>
  <c r="O73" i="4"/>
  <c r="D74" i="4"/>
  <c r="E74" i="4"/>
  <c r="F74" i="4"/>
  <c r="G74" i="4"/>
  <c r="H74" i="4"/>
  <c r="I74" i="4"/>
  <c r="J74" i="4"/>
  <c r="K74" i="4"/>
  <c r="L74" i="4"/>
  <c r="M74" i="4"/>
  <c r="N74" i="4"/>
  <c r="O74" i="4"/>
  <c r="D75" i="4"/>
  <c r="E75" i="4"/>
  <c r="F75" i="4"/>
  <c r="G75" i="4"/>
  <c r="H75" i="4"/>
  <c r="I75" i="4"/>
  <c r="J75" i="4"/>
  <c r="K75" i="4"/>
  <c r="L75" i="4"/>
  <c r="M75" i="4"/>
  <c r="N75" i="4"/>
  <c r="O75" i="4"/>
  <c r="D76" i="4"/>
  <c r="E76" i="4"/>
  <c r="F76" i="4"/>
  <c r="G76" i="4"/>
  <c r="H76" i="4"/>
  <c r="I76" i="4"/>
  <c r="J76" i="4"/>
  <c r="K76" i="4"/>
  <c r="L76" i="4"/>
  <c r="M76" i="4"/>
  <c r="N76" i="4"/>
  <c r="O76" i="4"/>
  <c r="D77" i="4"/>
  <c r="E77" i="4"/>
  <c r="F77" i="4"/>
  <c r="G77" i="4"/>
  <c r="H77" i="4"/>
  <c r="I77" i="4"/>
  <c r="J77" i="4"/>
  <c r="K77" i="4"/>
  <c r="L77" i="4"/>
  <c r="M77" i="4"/>
  <c r="N77" i="4"/>
  <c r="O77" i="4"/>
  <c r="D78" i="4"/>
  <c r="E78" i="4"/>
  <c r="F78" i="4"/>
  <c r="G78" i="4"/>
  <c r="H78" i="4"/>
  <c r="I78" i="4"/>
  <c r="J78" i="4"/>
  <c r="K78" i="4"/>
  <c r="L78" i="4"/>
  <c r="M78" i="4"/>
  <c r="N78" i="4"/>
  <c r="O78" i="4"/>
  <c r="D79" i="4"/>
  <c r="E79" i="4"/>
  <c r="F79" i="4"/>
  <c r="G79" i="4"/>
  <c r="H79" i="4"/>
  <c r="I79" i="4"/>
  <c r="J79" i="4"/>
  <c r="K79" i="4"/>
  <c r="L79" i="4"/>
  <c r="M79" i="4"/>
  <c r="N79" i="4"/>
  <c r="O79" i="4"/>
  <c r="D80" i="4"/>
  <c r="E80" i="4"/>
  <c r="F80" i="4"/>
  <c r="G80" i="4"/>
  <c r="H80" i="4"/>
  <c r="I80" i="4"/>
  <c r="J80" i="4"/>
  <c r="K80" i="4"/>
  <c r="L80" i="4"/>
  <c r="M80" i="4"/>
  <c r="N80" i="4"/>
  <c r="O80" i="4"/>
  <c r="D81" i="4"/>
  <c r="E81" i="4"/>
  <c r="F81" i="4"/>
  <c r="G81" i="4"/>
  <c r="H81" i="4"/>
  <c r="I81" i="4"/>
  <c r="J81" i="4"/>
  <c r="K81" i="4"/>
  <c r="L81" i="4"/>
  <c r="M81" i="4"/>
  <c r="N81" i="4"/>
  <c r="O81" i="4"/>
  <c r="D82" i="4"/>
  <c r="E82" i="4"/>
  <c r="F82" i="4"/>
  <c r="G82" i="4"/>
  <c r="H82" i="4"/>
  <c r="I82" i="4"/>
  <c r="J82" i="4"/>
  <c r="K82" i="4"/>
  <c r="L82" i="4"/>
  <c r="M82" i="4"/>
  <c r="N82" i="4"/>
  <c r="O82" i="4"/>
  <c r="D83" i="4"/>
  <c r="E83" i="4"/>
  <c r="F83" i="4"/>
  <c r="G83" i="4"/>
  <c r="H83" i="4"/>
  <c r="I83" i="4"/>
  <c r="J83" i="4"/>
  <c r="K83" i="4"/>
  <c r="L83" i="4"/>
  <c r="M83" i="4"/>
  <c r="N83" i="4"/>
  <c r="O83" i="4"/>
  <c r="D84" i="4"/>
  <c r="E84" i="4"/>
  <c r="F84" i="4"/>
  <c r="G84" i="4"/>
  <c r="H84" i="4"/>
  <c r="I84" i="4"/>
  <c r="J84" i="4"/>
  <c r="K84" i="4"/>
  <c r="L84" i="4"/>
  <c r="M84" i="4"/>
  <c r="N84" i="4"/>
  <c r="O84" i="4"/>
  <c r="D85" i="4"/>
  <c r="E85" i="4"/>
  <c r="F85" i="4"/>
  <c r="G85" i="4"/>
  <c r="H85" i="4"/>
  <c r="I85" i="4"/>
  <c r="J85" i="4"/>
  <c r="K85" i="4"/>
  <c r="L85" i="4"/>
  <c r="M85" i="4"/>
  <c r="N85" i="4"/>
  <c r="O85" i="4"/>
  <c r="D86" i="4"/>
  <c r="E86" i="4"/>
  <c r="F86" i="4"/>
  <c r="G86" i="4"/>
  <c r="H86" i="4"/>
  <c r="I86" i="4"/>
  <c r="J86" i="4"/>
  <c r="K86" i="4"/>
  <c r="L86" i="4"/>
  <c r="M86" i="4"/>
  <c r="N86" i="4"/>
  <c r="O86" i="4"/>
  <c r="D87" i="4"/>
  <c r="E87" i="4"/>
  <c r="F87" i="4"/>
  <c r="G87" i="4"/>
  <c r="H87" i="4"/>
  <c r="I87" i="4"/>
  <c r="J87" i="4"/>
  <c r="K87" i="4"/>
  <c r="L87" i="4"/>
  <c r="M87" i="4"/>
  <c r="N87" i="4"/>
  <c r="O87" i="4"/>
  <c r="D88" i="4"/>
  <c r="E88" i="4"/>
  <c r="F88" i="4"/>
  <c r="G88" i="4"/>
  <c r="H88" i="4"/>
  <c r="I88" i="4"/>
  <c r="J88" i="4"/>
  <c r="K88" i="4"/>
  <c r="L88" i="4"/>
  <c r="M88" i="4"/>
  <c r="N88" i="4"/>
  <c r="O88" i="4"/>
  <c r="D89" i="4"/>
  <c r="E89" i="4"/>
  <c r="F89" i="4"/>
  <c r="G89" i="4"/>
  <c r="H89" i="4"/>
  <c r="I89" i="4"/>
  <c r="J89" i="4"/>
  <c r="K89" i="4"/>
  <c r="L89" i="4"/>
  <c r="M89" i="4"/>
  <c r="N89" i="4"/>
  <c r="O89" i="4"/>
  <c r="D90" i="4"/>
  <c r="F90" i="4"/>
  <c r="G90" i="4"/>
  <c r="H90" i="4"/>
  <c r="I90" i="4"/>
  <c r="J90" i="4"/>
  <c r="K90" i="4"/>
  <c r="L90" i="4"/>
  <c r="M90" i="4"/>
  <c r="N90" i="4"/>
  <c r="O90" i="4"/>
  <c r="D91" i="4"/>
  <c r="E91" i="4"/>
  <c r="F91" i="4"/>
  <c r="G91" i="4"/>
  <c r="H91" i="4"/>
  <c r="I91" i="4"/>
  <c r="J91" i="4"/>
  <c r="K91" i="4"/>
  <c r="L91" i="4"/>
  <c r="M91" i="4"/>
  <c r="N91" i="4"/>
  <c r="O91" i="4"/>
  <c r="D92" i="4"/>
  <c r="E92" i="4"/>
  <c r="F92" i="4"/>
  <c r="G92" i="4"/>
  <c r="H92" i="4"/>
  <c r="I92" i="4"/>
  <c r="J92" i="4"/>
  <c r="K92" i="4"/>
  <c r="L92" i="4"/>
  <c r="M92" i="4"/>
  <c r="N92" i="4"/>
  <c r="O92" i="4"/>
  <c r="D93" i="4"/>
  <c r="E93" i="4"/>
  <c r="F93" i="4"/>
  <c r="G93" i="4"/>
  <c r="H93" i="4"/>
  <c r="I93" i="4"/>
  <c r="J93" i="4"/>
  <c r="K93" i="4"/>
  <c r="L93" i="4"/>
  <c r="M93" i="4"/>
  <c r="N93" i="4"/>
  <c r="O93" i="4"/>
  <c r="D94" i="4"/>
  <c r="E94" i="4"/>
  <c r="F94" i="4"/>
  <c r="G94" i="4"/>
  <c r="H94" i="4"/>
  <c r="I94" i="4"/>
  <c r="J94" i="4"/>
  <c r="K94" i="4"/>
  <c r="L94" i="4"/>
  <c r="M94" i="4"/>
  <c r="N94" i="4"/>
  <c r="O94" i="4"/>
  <c r="D95" i="4"/>
  <c r="E95" i="4"/>
  <c r="F95" i="4"/>
  <c r="G95" i="4"/>
  <c r="H95" i="4"/>
  <c r="I95" i="4"/>
  <c r="J95" i="4"/>
  <c r="K95" i="4"/>
  <c r="L95" i="4"/>
  <c r="M95" i="4"/>
  <c r="N95" i="4"/>
  <c r="O95" i="4"/>
  <c r="D96" i="4"/>
  <c r="E96" i="4"/>
  <c r="F96" i="4"/>
  <c r="G96" i="4"/>
  <c r="H96" i="4"/>
  <c r="I96" i="4"/>
  <c r="J96" i="4"/>
  <c r="K96" i="4"/>
  <c r="L96" i="4"/>
  <c r="M96" i="4"/>
  <c r="N96" i="4"/>
  <c r="O96" i="4"/>
  <c r="D97" i="4"/>
  <c r="E97" i="4"/>
  <c r="F97" i="4"/>
  <c r="G97" i="4"/>
  <c r="H97" i="4"/>
  <c r="I97" i="4"/>
  <c r="J97" i="4"/>
  <c r="K97" i="4"/>
  <c r="L97" i="4"/>
  <c r="M97" i="4"/>
  <c r="N97" i="4"/>
  <c r="O97" i="4"/>
  <c r="D98" i="4"/>
  <c r="E98" i="4"/>
  <c r="F98" i="4"/>
  <c r="G98" i="4"/>
  <c r="H98" i="4"/>
  <c r="I98" i="4"/>
  <c r="J98" i="4"/>
  <c r="K98" i="4"/>
  <c r="L98" i="4"/>
  <c r="M98" i="4"/>
  <c r="N98" i="4"/>
  <c r="O98" i="4"/>
  <c r="D99" i="4"/>
  <c r="E99" i="4"/>
  <c r="F99" i="4"/>
  <c r="G99" i="4"/>
  <c r="H99" i="4"/>
  <c r="I99" i="4"/>
  <c r="J99" i="4"/>
  <c r="K99" i="4"/>
  <c r="L99" i="4"/>
  <c r="M99" i="4"/>
  <c r="N99" i="4"/>
  <c r="O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D2" i="4"/>
  <c r="E2" i="4"/>
  <c r="F2" i="4"/>
  <c r="G2" i="4"/>
  <c r="H2" i="4"/>
  <c r="I2" i="4"/>
  <c r="J2" i="4"/>
  <c r="K2" i="4"/>
  <c r="L2" i="4"/>
  <c r="M2" i="4"/>
  <c r="N2" i="4"/>
  <c r="O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2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7" i="4"/>
  <c r="B46" i="4"/>
  <c r="B45" i="4"/>
  <c r="B44" i="4"/>
  <c r="B43" i="4"/>
  <c r="B42" i="4"/>
  <c r="B41" i="4"/>
  <c r="B40" i="4"/>
  <c r="B39" i="4"/>
  <c r="B101" i="1"/>
  <c r="B74" i="1"/>
  <c r="B75" i="1"/>
  <c r="B47" i="1"/>
  <c r="B102" i="1"/>
  <c r="B88" i="1"/>
  <c r="B39" i="1"/>
  <c r="B84" i="1"/>
  <c r="B89" i="1"/>
  <c r="B112" i="1"/>
  <c r="B52" i="1"/>
  <c r="B105" i="1"/>
  <c r="B64" i="1"/>
  <c r="B82" i="1"/>
  <c r="B80" i="1"/>
  <c r="B104" i="1"/>
  <c r="B41" i="1"/>
  <c r="B73" i="1"/>
  <c r="B85" i="1"/>
  <c r="B44" i="1"/>
  <c r="B46" i="1"/>
  <c r="B92" i="1"/>
  <c r="B78" i="1"/>
  <c r="B68" i="1"/>
  <c r="B62" i="1"/>
  <c r="B54" i="1"/>
  <c r="B43" i="1"/>
  <c r="B103" i="1"/>
  <c r="B53" i="1"/>
  <c r="B90" i="1"/>
  <c r="B61" i="1"/>
  <c r="B63" i="1"/>
  <c r="B66" i="1"/>
  <c r="B107" i="1"/>
  <c r="B91" i="1"/>
  <c r="B55" i="1"/>
  <c r="B99" i="1"/>
  <c r="B69" i="1"/>
  <c r="B95" i="1"/>
  <c r="B42" i="1"/>
  <c r="B96" i="1"/>
  <c r="B59" i="1"/>
  <c r="B109" i="1"/>
  <c r="B113" i="1"/>
  <c r="B97" i="1"/>
  <c r="B94" i="1"/>
  <c r="B79" i="1"/>
  <c r="B71" i="1"/>
  <c r="B65" i="1"/>
  <c r="B86" i="1"/>
  <c r="B50" i="1"/>
  <c r="B100" i="1"/>
  <c r="B51" i="1"/>
  <c r="B81" i="1"/>
  <c r="B93" i="1"/>
  <c r="B40" i="1"/>
  <c r="B87" i="1"/>
  <c r="B45" i="1"/>
  <c r="B72" i="1"/>
  <c r="B110" i="1"/>
  <c r="B77" i="1"/>
  <c r="B56" i="1"/>
  <c r="B108" i="1"/>
  <c r="B98" i="1"/>
  <c r="B58" i="1"/>
  <c r="B76" i="1"/>
  <c r="B70" i="1"/>
  <c r="B57" i="1"/>
  <c r="B106" i="1"/>
  <c r="B111" i="1"/>
  <c r="B83" i="1"/>
  <c r="B60" i="1"/>
  <c r="B67" i="1"/>
  <c r="B49" i="1"/>
</calcChain>
</file>

<file path=xl/sharedStrings.xml><?xml version="1.0" encoding="utf-8"?>
<sst xmlns="http://schemas.openxmlformats.org/spreadsheetml/2006/main" count="4147" uniqueCount="688">
  <si>
    <t>filename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</si>
  <si>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</si>
  <si>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</si>
  <si>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</si>
  <si>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</si>
  <si>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</si>
  <si>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</si>
  <si>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</si>
  <si>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</si>
  <si>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</si>
  <si>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</si>
  <si>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</si>
  <si>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</si>
  <si>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</si>
  <si>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202101-divvy-tripdata.csv</t>
  </si>
  <si>
    <t>ride_id</t>
  </si>
  <si>
    <t>rideable_type</t>
  </si>
  <si>
    <t>started_at</t>
  </si>
  <si>
    <t>ended_at</t>
  </si>
  <si>
    <t>start_station_name</t>
  </si>
  <si>
    <t>start_station_id</t>
  </si>
  <si>
    <t>end_station_name</t>
  </si>
  <si>
    <t>end_station_id</t>
  </si>
  <si>
    <t>start_lat</t>
  </si>
  <si>
    <t>start_lng</t>
  </si>
  <si>
    <t>end_lat</t>
  </si>
  <si>
    <t>end_lng</t>
  </si>
  <si>
    <t>member_casual</t>
  </si>
  <si>
    <t>202504-divvy-tripdata.csv</t>
  </si>
  <si>
    <t>202302-divvy-tripdata.csv</t>
  </si>
  <si>
    <t>202303-divvy-tripdata.csv</t>
  </si>
  <si>
    <t>202012-divvy-tripdata.csv</t>
  </si>
  <si>
    <t>202505-divvy-tripdata.csv</t>
  </si>
  <si>
    <t>202404-divvy-tripdata.csv</t>
  </si>
  <si>
    <t>Divvy_Stations_2016_Q4.csv</t>
  </si>
  <si>
    <t>id</t>
  </si>
  <si>
    <t>name</t>
  </si>
  <si>
    <t>latitude</t>
  </si>
  <si>
    <t>longitude</t>
  </si>
  <si>
    <t>dpcapacity</t>
  </si>
  <si>
    <t>online_date</t>
  </si>
  <si>
    <t>Divvy_Stations_2016_Q3.csv</t>
  </si>
  <si>
    <t>Divvy_Trips_2016_Q3.csv</t>
  </si>
  <si>
    <t>trip_id</t>
  </si>
  <si>
    <t>starttime</t>
  </si>
  <si>
    <t>stoptime</t>
  </si>
  <si>
    <t>bikeid</t>
  </si>
  <si>
    <t>tripduration</t>
  </si>
  <si>
    <t>from_station_id</t>
  </si>
  <si>
    <t>from_station_name</t>
  </si>
  <si>
    <t>to_station_id</t>
  </si>
  <si>
    <t>to_station_name</t>
  </si>
  <si>
    <t>usertype</t>
  </si>
  <si>
    <t>gender</t>
  </si>
  <si>
    <t>birthyear</t>
  </si>
  <si>
    <t>Divvy_Trips_2016_Q4.csv</t>
  </si>
  <si>
    <t>202004-divvy-tripdata.csv</t>
  </si>
  <si>
    <t>202312-divvy-tripdata.csv</t>
  </si>
  <si>
    <t>202405-divvy-tripdata.csv</t>
  </si>
  <si>
    <t>202604-divvy-tripdata.csv</t>
  </si>
  <si>
    <t>202104-divvy-tripdata.csv</t>
  </si>
  <si>
    <t>202508-divvy-tripdata.csv</t>
  </si>
  <si>
    <t>202204-divvy-tripdata.csv</t>
  </si>
  <si>
    <t>202310-divvy-tripdata.csv</t>
  </si>
  <si>
    <t>202308-divvy-tripdata.csv</t>
  </si>
  <si>
    <t>202507-divvy-tripdata.csv</t>
  </si>
  <si>
    <t>202006-divvy-tripdata.csv</t>
  </si>
  <si>
    <t>202301-divvy-tripdata.csv</t>
  </si>
  <si>
    <t>202401-divvy-tripdata.csv</t>
  </si>
  <si>
    <t>Divvy_Trips_2018_Q1.csv</t>
  </si>
  <si>
    <t>01 - Rental Details Rental ID</t>
  </si>
  <si>
    <t>01 - Rental Details Local Start Time</t>
  </si>
  <si>
    <t>01 - Rental Details Local End Time</t>
  </si>
  <si>
    <t>01 - Rental Details Bike ID</t>
  </si>
  <si>
    <t>01 - Rental Details Duration In Seconds Uncapped</t>
  </si>
  <si>
    <t>03 - Rental Start Station ID</t>
  </si>
  <si>
    <t>03 - Rental Start Station Name</t>
  </si>
  <si>
    <t>02 - Rental End Station ID</t>
  </si>
  <si>
    <t>02 - Rental End Station Name</t>
  </si>
  <si>
    <t>User Type</t>
  </si>
  <si>
    <t>Member Gender</t>
  </si>
  <si>
    <t>05 - Member Details Member Birthday Year</t>
  </si>
  <si>
    <t>202009-divvy-tripdata.csv</t>
  </si>
  <si>
    <t>202011-divvy-tripdata.csv</t>
  </si>
  <si>
    <t>Divvy_Trips_2013.csv</t>
  </si>
  <si>
    <t>birthday</t>
  </si>
  <si>
    <t>Divvy_Stations_2013.csv</t>
  </si>
  <si>
    <t>landmark</t>
  </si>
  <si>
    <t>online date</t>
  </si>
  <si>
    <t>Divvy_Trips_2018_Q3.csv</t>
  </si>
  <si>
    <t>start_time</t>
  </si>
  <si>
    <t>end_time</t>
  </si>
  <si>
    <t>202408-divvy-tripdata.csv</t>
  </si>
  <si>
    <t>202306-divvy-tripdata.csv</t>
  </si>
  <si>
    <t>202208-divvy-tripdata.csv</t>
  </si>
  <si>
    <t>202202-divvy-tripdata.csv</t>
  </si>
  <si>
    <t>202106-divvy-tripdata.csv</t>
  </si>
  <si>
    <t>Divvy_Trips_2019_Q3.csv</t>
  </si>
  <si>
    <t>202008-divvy-tripdata.csv</t>
  </si>
  <si>
    <t>202506-divvy-tripdata.csv</t>
  </si>
  <si>
    <t>202105-divvy-tripdata.csv</t>
  </si>
  <si>
    <t>202406-divvy-tripdata.csv</t>
  </si>
  <si>
    <t>Divvy_Trips_2019_Q2.csv</t>
  </si>
  <si>
    <t>202201-divvy-tripdata.csv</t>
  </si>
  <si>
    <t>202203-divvy-tripdata.csv</t>
  </si>
  <si>
    <t>202206-divvy-tripdata.csv</t>
  </si>
  <si>
    <t>202510-divvy-tripdata.csv</t>
  </si>
  <si>
    <t>202407-divvy-tripdata.csv</t>
  </si>
  <si>
    <t>202107-divvy-tripdata.csv</t>
  </si>
  <si>
    <t>202502-divvy-tripdata.csv</t>
  </si>
  <si>
    <t>202209-divvy-publictripdata.csv</t>
  </si>
  <si>
    <t>202411-divvy-tripdata.csv</t>
  </si>
  <si>
    <t>202007-divvy-tripdata.csv</t>
  </si>
  <si>
    <t>Divvy_Trips_2015_09.csv</t>
  </si>
  <si>
    <t>Divvy_Trips_2015_07.csv</t>
  </si>
  <si>
    <t>Divvy_Trips_2015_08.csv</t>
  </si>
  <si>
    <t>Divvy_Trips_2015_Q4.csv</t>
  </si>
  <si>
    <t>Divvy_Trips_2018_Q2.csv</t>
  </si>
  <si>
    <t>Divvy_Trips_2019_Q4.csv</t>
  </si>
  <si>
    <t>Divvy_Trips_2017_Q2.csv</t>
  </si>
  <si>
    <t>Divvy_Stations_2017_Q1Q2.csv</t>
  </si>
  <si>
    <t>city</t>
  </si>
  <si>
    <t>Divvy_Trips_2017_Q1.csv</t>
  </si>
  <si>
    <t>202412-divvy-tripdata.csv</t>
  </si>
  <si>
    <t>202111-divvy-tripdata.csv</t>
  </si>
  <si>
    <t>202512-divvy-tripdata.csv</t>
  </si>
  <si>
    <t>Divvy_Stations_2015.csv</t>
  </si>
  <si>
    <t>Divvy_Trips_2015-Q2.csv</t>
  </si>
  <si>
    <t>Divvy_Trips_2015-Q1.csv</t>
  </si>
  <si>
    <t>202605-divvy-tripdata.csv</t>
  </si>
  <si>
    <t>202501-divvy-tripdata.csv</t>
  </si>
  <si>
    <t>202410-divvy-tripdata.csv</t>
  </si>
  <si>
    <t>202307-divvy-tripdata.csv</t>
  </si>
  <si>
    <t>202211-divvy-tripdata.csv</t>
  </si>
  <si>
    <t>202205-divvy-tripdata.csv</t>
  </si>
  <si>
    <t>202402-divvy-tripdata.csv</t>
  </si>
  <si>
    <t>Divvy_Trips_2014-Q3-0809.csv</t>
  </si>
  <si>
    <t>Divvy_Trips_2014-Q4.csv</t>
  </si>
  <si>
    <t>Divvy_Trips_2014-Q3-07.csv</t>
  </si>
  <si>
    <t>Divvy_Stations_2014-Q3Q4.csv</t>
  </si>
  <si>
    <t>dateCreated</t>
  </si>
  <si>
    <t>202102-divvy-tripdata.csv</t>
  </si>
  <si>
    <t>202503-divvy-tripdata.csv</t>
  </si>
  <si>
    <t>202103-divvy-tripdata.csv</t>
  </si>
  <si>
    <t>Divvy_Trips_2016_Q1.csv</t>
  </si>
  <si>
    <t>Divvy_Stations_2016_Q1Q2.csv</t>
  </si>
  <si>
    <t>Divvy_Trips_2016_06.csv</t>
  </si>
  <si>
    <t>Divvy_Trips_2016_05.csv</t>
  </si>
  <si>
    <t>Divvy_Trips_2016_04.csv</t>
  </si>
  <si>
    <t>202309-divvy-tripdata.csv</t>
  </si>
  <si>
    <t>Divvy_Trips_2020_Q1.csv</t>
  </si>
  <si>
    <t>202409-divvy-tripdata.csv</t>
  </si>
  <si>
    <t>Divvy_Trips_2018_Q4.csv</t>
  </si>
  <si>
    <t>202005-divvy-tripdata.csv</t>
  </si>
  <si>
    <t>202403-divvy-tripdata.csv</t>
  </si>
  <si>
    <t>202010-divvy-tripdata.csv</t>
  </si>
  <si>
    <t>202212-divvy-tripdata.csv</t>
  </si>
  <si>
    <t>202602-divvy-tripdata.csv</t>
  </si>
  <si>
    <t>Divvy_Trips_2014_Q1Q2.csv</t>
  </si>
  <si>
    <t>202305-divvy-tripdata.csv</t>
  </si>
  <si>
    <t>202108-divvy-tripdata.csv</t>
  </si>
  <si>
    <t>202511-divvy-tripdata.csv</t>
  </si>
  <si>
    <t>202110-divvy-tripdata.csv</t>
  </si>
  <si>
    <t>202304-divvy-tripdata.csv</t>
  </si>
  <si>
    <t>202210-divvy-tripdata.csv</t>
  </si>
  <si>
    <t>202109-divvy-tripdata.csv</t>
  </si>
  <si>
    <t>202509-divvy-tripdata.csv</t>
  </si>
  <si>
    <t>202603-divvy-tripdata.csv</t>
  </si>
  <si>
    <t>Divvy_Trips_2019_Q1.csv</t>
  </si>
  <si>
    <t>202311-divvy-tripdata.csv</t>
  </si>
  <si>
    <t>Divvy_Stations_2017_Q3Q4.csv</t>
  </si>
  <si>
    <t>Unnamed: 7</t>
  </si>
  <si>
    <t>Divvy_Trips_2017_Q3.csv</t>
  </si>
  <si>
    <t>Divvy_Trips_2017_Q4.csv</t>
  </si>
  <si>
    <t>202112-divvy-tripdata.csv</t>
  </si>
  <si>
    <t>202207-divvy-tripdata.csv</t>
  </si>
  <si>
    <t>object</t>
  </si>
  <si>
    <t>float64</t>
  </si>
  <si>
    <t>int64</t>
  </si>
  <si>
    <t>DC88F20C2C55F27F</t>
  </si>
  <si>
    <t>electric_bike</t>
  </si>
  <si>
    <t>2021-01-27 18:43:08</t>
  </si>
  <si>
    <t>2021-01-27 18:47:12</t>
  </si>
  <si>
    <t>California Ave &amp; Cortez St</t>
  </si>
  <si>
    <t>17660</t>
  </si>
  <si>
    <t>member</t>
  </si>
  <si>
    <t>8B38081EBE918800</t>
  </si>
  <si>
    <t>2025-04-23 17:48:51.863</t>
  </si>
  <si>
    <t>2025-04-23 17:59:06.015</t>
  </si>
  <si>
    <t>Wabash Ave &amp; Adams St</t>
  </si>
  <si>
    <t>KA1503000015</t>
  </si>
  <si>
    <t>Green St &amp; Madison St</t>
  </si>
  <si>
    <t>TA1307000120</t>
  </si>
  <si>
    <t>F3EC5FCE5FF39DE9</t>
  </si>
  <si>
    <t>2023-02-15 13:53:48</t>
  </si>
  <si>
    <t>2023-02-15 13:59:08</t>
  </si>
  <si>
    <t>Clarendon Ave &amp; Gordon Ter</t>
  </si>
  <si>
    <t>13379</t>
  </si>
  <si>
    <t>Sheridan Rd &amp; Lawrence Ave</t>
  </si>
  <si>
    <t>TA1309000041</t>
  </si>
  <si>
    <t>casual</t>
  </si>
  <si>
    <t>F984267A75B99A8C</t>
  </si>
  <si>
    <t>2023-03-04 14:07:06</t>
  </si>
  <si>
    <t>2023-03-04 14:15:31</t>
  </si>
  <si>
    <t>Public Rack - Kedzie Ave &amp; Argyle St</t>
  </si>
  <si>
    <t>491</t>
  </si>
  <si>
    <t>158A465D4E74C54A</t>
  </si>
  <si>
    <t>2020-12-18 17:37:15</t>
  </si>
  <si>
    <t>2020-12-18 17:44:19</t>
  </si>
  <si>
    <t>0210AE485D59C8C5</t>
  </si>
  <si>
    <t>2025-05-05 08:02:09.251</t>
  </si>
  <si>
    <t>2025-05-05 08:12:07.549</t>
  </si>
  <si>
    <t>Damen Ave &amp; Grand Ave</t>
  </si>
  <si>
    <t>TA1308000006</t>
  </si>
  <si>
    <t>Desplaines St &amp; Jackson Blvd</t>
  </si>
  <si>
    <t>15539</t>
  </si>
  <si>
    <t>BE90D33D2240C614</t>
  </si>
  <si>
    <t>2024-04-11 06:19:24</t>
  </si>
  <si>
    <t>2024-04-11 06:22:21</t>
  </si>
  <si>
    <t>Aberdeen St &amp; Jackson Blvd</t>
  </si>
  <si>
    <t>13157</t>
  </si>
  <si>
    <t>63rd St Beach</t>
  </si>
  <si>
    <t>4/20/2015</t>
  </si>
  <si>
    <t>9/30/2016 23:59:58</t>
  </si>
  <si>
    <t>10/1/2016 00:04:09</t>
  </si>
  <si>
    <t>Ashland Ave &amp; Harrison St</t>
  </si>
  <si>
    <t>Loomis St &amp; Lexington St</t>
  </si>
  <si>
    <t>Subscriber</t>
  </si>
  <si>
    <t>Female</t>
  </si>
  <si>
    <t>12/31/2016 23:53:18</t>
  </si>
  <si>
    <t>1/1/2017 00:08:13</t>
  </si>
  <si>
    <t>Columbus Dr &amp; Randolph St</t>
  </si>
  <si>
    <t>Michigan Ave &amp; Pearson St</t>
  </si>
  <si>
    <t>Customer</t>
  </si>
  <si>
    <t>5405B80E996FF60D</t>
  </si>
  <si>
    <t>docked_bike</t>
  </si>
  <si>
    <t>2020-04-17 17:08:54</t>
  </si>
  <si>
    <t>2020-04-17 17:17:03</t>
  </si>
  <si>
    <t>Drake Ave &amp; Fullerton Ave</t>
  </si>
  <si>
    <t>Kosciuszko Park</t>
  </si>
  <si>
    <t>CDBD92F067FA620E</t>
  </si>
  <si>
    <t>2023-12-02 18:48:19</t>
  </si>
  <si>
    <t>2023-12-02 18:54:48</t>
  </si>
  <si>
    <t>02EC47687411416F</t>
  </si>
  <si>
    <t>classic_bike</t>
  </si>
  <si>
    <t>2024-05-14 15:11:51</t>
  </si>
  <si>
    <t>2024-05-14 15:22:00</t>
  </si>
  <si>
    <t>Sheridan Rd &amp; Greenleaf Ave</t>
  </si>
  <si>
    <t>KA1504000159</t>
  </si>
  <si>
    <t>Sheridan Rd &amp; Loyola Ave</t>
  </si>
  <si>
    <t>RP-009</t>
  </si>
  <si>
    <t>8FE476DD539B3402</t>
  </si>
  <si>
    <t>2026-04-13 09:56:56.062</t>
  </si>
  <si>
    <t>2026-04-13 10:24:12.047</t>
  </si>
  <si>
    <t>1E0145613A209000</t>
  </si>
  <si>
    <t>2021-04-27 17:27:11</t>
  </si>
  <si>
    <t>2021-04-27 18:31:29</t>
  </si>
  <si>
    <t>Dorchester Ave &amp; 49th St</t>
  </si>
  <si>
    <t>KA1503000069</t>
  </si>
  <si>
    <t>FB25D4B923656D01</t>
  </si>
  <si>
    <t>2025-08-27 19:15:53.059</t>
  </si>
  <si>
    <t>2025-08-27 19:34:13.683</t>
  </si>
  <si>
    <t>0B820C7FCF22F489</t>
  </si>
  <si>
    <t>2022-04-24 19:23:07</t>
  </si>
  <si>
    <t>2022-04-24 19:43:17</t>
  </si>
  <si>
    <t>Wentworth Ave &amp; Cermak Rd</t>
  </si>
  <si>
    <t>13075</t>
  </si>
  <si>
    <t>9CF060543CA7B439</t>
  </si>
  <si>
    <t>2023-10-11 17:23:59</t>
  </si>
  <si>
    <t>2023-10-11 17:36:08</t>
  </si>
  <si>
    <t>Desplaines St &amp; Kinzie St</t>
  </si>
  <si>
    <t>TA1306000003</t>
  </si>
  <si>
    <t>Sheffield Ave &amp; Webster Ave</t>
  </si>
  <si>
    <t>TA1309000033</t>
  </si>
  <si>
    <t>F2FB18A98E110A2B</t>
  </si>
  <si>
    <t>2023-08-18 15:30:18</t>
  </si>
  <si>
    <t>2023-08-18 15:45:25</t>
  </si>
  <si>
    <t>Clark St &amp; Randolph St</t>
  </si>
  <si>
    <t>TA1305000030</t>
  </si>
  <si>
    <t>9D4A6B723ECD98CA</t>
  </si>
  <si>
    <t>2025-07-01 13:57:38.878</t>
  </si>
  <si>
    <t>2025-07-01 14:06:35.780</t>
  </si>
  <si>
    <t>Cottage Grove Ave &amp; Oakwood Blvd</t>
  </si>
  <si>
    <t>CHI00400</t>
  </si>
  <si>
    <t>Cottage Grove Ave &amp; 47th St</t>
  </si>
  <si>
    <t>CHI00488</t>
  </si>
  <si>
    <t>9A191EB2C751D85D</t>
  </si>
  <si>
    <t>2020-06-26 07:26:10</t>
  </si>
  <si>
    <t>2020-06-26 07:31:58</t>
  </si>
  <si>
    <t>Federal St &amp; Polk St</t>
  </si>
  <si>
    <t>Daley Center Plaza</t>
  </si>
  <si>
    <t>13CB7EB698CEDB88</t>
  </si>
  <si>
    <t>2023-01-10 15:37:36</t>
  </si>
  <si>
    <t>2023-01-10 15:46:05</t>
  </si>
  <si>
    <t>Kimbark Ave &amp; 53rd St</t>
  </si>
  <si>
    <t>TA1309000037</t>
  </si>
  <si>
    <t>Greenwood Ave &amp; 47th St</t>
  </si>
  <si>
    <t>TA1308000002</t>
  </si>
  <si>
    <t>EECD38BDB25BFCB0</t>
  </si>
  <si>
    <t>2024-01-08 15:45:46</t>
  </si>
  <si>
    <t>2024-01-08 15:52:59</t>
  </si>
  <si>
    <t>Wells St &amp; Elm St</t>
  </si>
  <si>
    <t>KA1504000135</t>
  </si>
  <si>
    <t>Kingsbury St &amp; Kinzie St</t>
  </si>
  <si>
    <t>KA1503000043</t>
  </si>
  <si>
    <t>2018-01-01 00:41:35</t>
  </si>
  <si>
    <t>2018-01-01 00:47:52</t>
  </si>
  <si>
    <t>377.0</t>
  </si>
  <si>
    <t>Winthrop Ave &amp; Lawrence Ave</t>
  </si>
  <si>
    <t>Clark St &amp; Winnemac Ave (Temp)</t>
  </si>
  <si>
    <t>Male</t>
  </si>
  <si>
    <t>A7FB70B4AFC6CAF2</t>
  </si>
  <si>
    <t>2020-09-17 15:07:31</t>
  </si>
  <si>
    <t>2020-09-17 15:07:45</t>
  </si>
  <si>
    <t>W Oakdale Ave &amp; N Broadway</t>
  </si>
  <si>
    <t>96A7A7A4BDE4F82D</t>
  </si>
  <si>
    <t>2020-11-01 10:03:26</t>
  </si>
  <si>
    <t>2020-11-01 10:14:45</t>
  </si>
  <si>
    <t>Franklin St &amp; Illinois St</t>
  </si>
  <si>
    <t>Noble St &amp; Milwaukee Ave</t>
  </si>
  <si>
    <t>2013-06-27 14:44</t>
  </si>
  <si>
    <t>2013-06-27 14:45</t>
  </si>
  <si>
    <t>Racine Ave &amp; Congress Pkwy</t>
  </si>
  <si>
    <t>Wilton Ave &amp; Diversey Pkwy</t>
  </si>
  <si>
    <t>6/28/2013</t>
  </si>
  <si>
    <t>2018-07-01 00:00:13</t>
  </si>
  <si>
    <t>2018-07-01 00:06:39</t>
  </si>
  <si>
    <t>386.0</t>
  </si>
  <si>
    <t>Southport Ave &amp; Wellington Ave</t>
  </si>
  <si>
    <t>Ashland Ave &amp; Wellington Ave</t>
  </si>
  <si>
    <t>8752245932EFF67A</t>
  </si>
  <si>
    <t>2024-08-02 15:33:13.965</t>
  </si>
  <si>
    <t>2024-08-02 15:55:23.865</t>
  </si>
  <si>
    <t>Franklin St &amp; Monroe St</t>
  </si>
  <si>
    <t>TA1309000007</t>
  </si>
  <si>
    <t>Damen Ave &amp; Cortland St</t>
  </si>
  <si>
    <t>13133</t>
  </si>
  <si>
    <t>622A1686D64948EB</t>
  </si>
  <si>
    <t>2023-06-05 01:30:22</t>
  </si>
  <si>
    <t>2023-06-05 01:33:06</t>
  </si>
  <si>
    <t>DAD198F405F9C5F5</t>
  </si>
  <si>
    <t>2022-08-08 14:39:21</t>
  </si>
  <si>
    <t>2022-08-08 14:53:23</t>
  </si>
  <si>
    <t>1602DCDC5B30FFE3</t>
  </si>
  <si>
    <t>2022-02-20 17:41:30</t>
  </si>
  <si>
    <t>2022-02-20 17:45:56</t>
  </si>
  <si>
    <t>Halsted St &amp; Wrightwood Ave</t>
  </si>
  <si>
    <t>TA1309000061</t>
  </si>
  <si>
    <t>Southport Ave &amp; Wrightwood Ave</t>
  </si>
  <si>
    <t>TA1307000113</t>
  </si>
  <si>
    <t>06048DCFC8520CAF</t>
  </si>
  <si>
    <t>2021-06-04 11:18:02</t>
  </si>
  <si>
    <t>2021-06-04 11:24:19</t>
  </si>
  <si>
    <t>2019-07-01 00:01:16</t>
  </si>
  <si>
    <t>2019-07-01 00:18:44</t>
  </si>
  <si>
    <t>1,048.0</t>
  </si>
  <si>
    <t>Western Ave &amp; Monroe St</t>
  </si>
  <si>
    <t>Western Ave &amp; 21st St</t>
  </si>
  <si>
    <t>2A3AEF1AB9054D8B</t>
  </si>
  <si>
    <t>2020-08-27 18:46:04</t>
  </si>
  <si>
    <t>2020-08-27 19:54:51</t>
  </si>
  <si>
    <t>Michigan Ave &amp; 14th St</t>
  </si>
  <si>
    <t>1CDEA40FEAF21789</t>
  </si>
  <si>
    <t>2025-06-14 13:03:34.478</t>
  </si>
  <si>
    <t>2025-06-14 13:13:19.791</t>
  </si>
  <si>
    <t>Dearborn Pkwy &amp; Delaware Pl</t>
  </si>
  <si>
    <t>CHI00306</t>
  </si>
  <si>
    <t>CHI00299</t>
  </si>
  <si>
    <t>DD59FDCE0ACACAF3</t>
  </si>
  <si>
    <t>2021-05-30 11:29:14</t>
  </si>
  <si>
    <t>2021-05-30 12:14:09</t>
  </si>
  <si>
    <t>462B48CD292B6A18</t>
  </si>
  <si>
    <t>2024-06-11 17:19:21.567</t>
  </si>
  <si>
    <t>2024-06-11 17:19:36.377</t>
  </si>
  <si>
    <t>2019-04-01 00:03:02</t>
  </si>
  <si>
    <t>2019-04-01 00:20:30</t>
  </si>
  <si>
    <t>Wood St &amp; Taylor St</t>
  </si>
  <si>
    <t>Wabash Ave &amp; Roosevelt Rd</t>
  </si>
  <si>
    <t>A6CF8980A652D272</t>
  </si>
  <si>
    <t>2022-01-10 08:41:56</t>
  </si>
  <si>
    <t>2022-01-10 08:46:17</t>
  </si>
  <si>
    <t>Glenwood Ave &amp; Touhy Ave</t>
  </si>
  <si>
    <t>525</t>
  </si>
  <si>
    <t>Clark St &amp; Touhy Ave</t>
  </si>
  <si>
    <t>RP-007</t>
  </si>
  <si>
    <t>8494861979B0F477</t>
  </si>
  <si>
    <t>2022-03-16 09:37:16</t>
  </si>
  <si>
    <t>2022-03-16 09:43:34</t>
  </si>
  <si>
    <t>Michigan Ave &amp; Oak St</t>
  </si>
  <si>
    <t>13042</t>
  </si>
  <si>
    <t>Orleans St &amp; Chestnut St (NEXT Apts)</t>
  </si>
  <si>
    <t>620</t>
  </si>
  <si>
    <t>F5E6B5C1682C6464</t>
  </si>
  <si>
    <t>2022-06-30 18:39:52</t>
  </si>
  <si>
    <t>2022-06-30 18:47:28</t>
  </si>
  <si>
    <t>F90C86BF3BB85040</t>
  </si>
  <si>
    <t>2025-10-14 07:42:55.465</t>
  </si>
  <si>
    <t>Racine Ave &amp; Wrightwood Ave</t>
  </si>
  <si>
    <t>CHI00506</t>
  </si>
  <si>
    <t>McClurg Ct &amp; Ohio St</t>
  </si>
  <si>
    <t>CHI00330</t>
  </si>
  <si>
    <t>B2176315168A47CE</t>
  </si>
  <si>
    <t>2024-07-11 15:45:07.851</t>
  </si>
  <si>
    <t>2024-07-11 16:06:04.243</t>
  </si>
  <si>
    <t>B2D5583A5A5E76EE</t>
  </si>
  <si>
    <t>2021-07-07 16:57:42</t>
  </si>
  <si>
    <t>2021-07-07 17:16:09</t>
  </si>
  <si>
    <t>Wood St &amp; Hubbard St</t>
  </si>
  <si>
    <t>13432</t>
  </si>
  <si>
    <t>303C0906F3F068AE</t>
  </si>
  <si>
    <t>2025-02-08 14:55:13.493</t>
  </si>
  <si>
    <t>2025-02-08 15:13:39.890</t>
  </si>
  <si>
    <t>Ogden Ave &amp; Race Ave</t>
  </si>
  <si>
    <t>13194</t>
  </si>
  <si>
    <t>Clark St &amp; Elm St</t>
  </si>
  <si>
    <t>TA1307000039</t>
  </si>
  <si>
    <t>E12D4A16BF51C274</t>
  </si>
  <si>
    <t>2022-09-01 17:11:29</t>
  </si>
  <si>
    <t>2022-09-01 17:14:45</t>
  </si>
  <si>
    <t>78B141C50102ABA6</t>
  </si>
  <si>
    <t>2024-11-22 14:49:00.431</t>
  </si>
  <si>
    <t>2024-11-22 14:56:15.475</t>
  </si>
  <si>
    <t>Walsh Park</t>
  </si>
  <si>
    <t>18067</t>
  </si>
  <si>
    <t>Leavitt St &amp; Armitage Ave</t>
  </si>
  <si>
    <t>TA1309000029</t>
  </si>
  <si>
    <t>BEC9C9FBA0D4CF1B</t>
  </si>
  <si>
    <t>2020-07-24 23:56:30</t>
  </si>
  <si>
    <t>2020-07-25 00:20:17</t>
  </si>
  <si>
    <t>Halsted St &amp; Roscoe St</t>
  </si>
  <si>
    <t>Broadway &amp; Ridge Ave</t>
  </si>
  <si>
    <t>9/30/2015 23:59</t>
  </si>
  <si>
    <t>10/1/2015 0:07</t>
  </si>
  <si>
    <t>Southport Ave &amp; Roscoe St</t>
  </si>
  <si>
    <t>Clark St &amp; Grace St</t>
  </si>
  <si>
    <t>7/31/2015 23:59</t>
  </si>
  <si>
    <t>8/1/2015 0:22</t>
  </si>
  <si>
    <t>Theater on the Lake</t>
  </si>
  <si>
    <t>8/31/2015 23:58</t>
  </si>
  <si>
    <t>9/1/2015 0:26</t>
  </si>
  <si>
    <t>Albany Ave &amp; Bloomingdale Ave</t>
  </si>
  <si>
    <t>Marshfield Ave &amp; Cortland St</t>
  </si>
  <si>
    <t>12/31/2015 23:47</t>
  </si>
  <si>
    <t>12/31/2015 23:53</t>
  </si>
  <si>
    <t>Wilton Ave &amp; Belmont Ave</t>
  </si>
  <si>
    <t>2018-04-01 00:06:42</t>
  </si>
  <si>
    <t>2018-04-01 00:27:07</t>
  </si>
  <si>
    <t>1,225.0</t>
  </si>
  <si>
    <t>Lake Shore Dr &amp; Wellington Ave</t>
  </si>
  <si>
    <t>2019-10-01 00:02:16</t>
  </si>
  <si>
    <t>2019-10-01 00:06:34</t>
  </si>
  <si>
    <t>258.0</t>
  </si>
  <si>
    <t>Throop (Loomis) St &amp; Taylor St</t>
  </si>
  <si>
    <t>Morgan St &amp; Polk St</t>
  </si>
  <si>
    <t>6/30/2017 23:59:28</t>
  </si>
  <si>
    <t>7/1/2017 00:07:10</t>
  </si>
  <si>
    <t>Clark St &amp; Montrose Ave</t>
  </si>
  <si>
    <t>Chicago</t>
  </si>
  <si>
    <t>7/16/2013 01:27:50</t>
  </si>
  <si>
    <t>3/31/2017 23:56:25</t>
  </si>
  <si>
    <t>4/1/2017 00:00:21</t>
  </si>
  <si>
    <t>Wabash Ave &amp; Grand Ave</t>
  </si>
  <si>
    <t>McClurg Ct &amp; Illinois St</t>
  </si>
  <si>
    <t>C0913EEB2834E7A2</t>
  </si>
  <si>
    <t>2024-12-21 18:41:26.478</t>
  </si>
  <si>
    <t>2024-12-21 18:47:33.871</t>
  </si>
  <si>
    <t>Clark St &amp; Wellington Ave</t>
  </si>
  <si>
    <t>TA1307000136</t>
  </si>
  <si>
    <t>TA1309000025</t>
  </si>
  <si>
    <t>90854840DFD508BA</t>
  </si>
  <si>
    <t>2021-11-27 13:38:25</t>
  </si>
  <si>
    <t>2021-11-27 13:56:10</t>
  </si>
  <si>
    <t>B005230EE77A29D0</t>
  </si>
  <si>
    <t>2025-12-20 17:15:31.749</t>
  </si>
  <si>
    <t>2025-12-20 17:20:07.746</t>
  </si>
  <si>
    <t>Sheridan Rd &amp; Montrose Ave</t>
  </si>
  <si>
    <t>CHI00290</t>
  </si>
  <si>
    <t>Broadway &amp; Sheridan Rd</t>
  </si>
  <si>
    <t>CHI00476</t>
  </si>
  <si>
    <t>Shedd Aquarium</t>
  </si>
  <si>
    <t>6/30/2015 23:59</t>
  </si>
  <si>
    <t>7/1/2015 0:23</t>
  </si>
  <si>
    <t>Troy St &amp; Elston Ave</t>
  </si>
  <si>
    <t>Southport Ave &amp; Waveland Ave</t>
  </si>
  <si>
    <t>3/31/2015 23:59</t>
  </si>
  <si>
    <t>4/1/2015 0:15</t>
  </si>
  <si>
    <t>Michigan Ave &amp; Washington St</t>
  </si>
  <si>
    <t>746948BC4E29B6D0</t>
  </si>
  <si>
    <t>2026-05-20 11:37:45.232</t>
  </si>
  <si>
    <t>2026-05-20 11:51:43.399</t>
  </si>
  <si>
    <t>FB27405C3F8C824F</t>
  </si>
  <si>
    <t>2026-01-15 14:25:42.526</t>
  </si>
  <si>
    <t>2026-01-15 14:33:18.854</t>
  </si>
  <si>
    <t>Shore Dr &amp; 55th St</t>
  </si>
  <si>
    <t>CHI00394</t>
  </si>
  <si>
    <t>Woodlawn Ave &amp; 55th St</t>
  </si>
  <si>
    <t>CHI00423</t>
  </si>
  <si>
    <t>19DB722B44CBE82F</t>
  </si>
  <si>
    <t>2024-10-13 19:33:38.926</t>
  </si>
  <si>
    <t>2024-10-13 19:39:04.490</t>
  </si>
  <si>
    <t>D1460EE3CE0D8AF8</t>
  </si>
  <si>
    <t>2023-07-23 17:05:07</t>
  </si>
  <si>
    <t>2023-07-23 17:18:37</t>
  </si>
  <si>
    <t>Western Ave &amp; Walton St</t>
  </si>
  <si>
    <t>KA1504000103</t>
  </si>
  <si>
    <t>Milwaukee Ave &amp; Grand Ave</t>
  </si>
  <si>
    <t>13033</t>
  </si>
  <si>
    <t>772AB67E902C180F</t>
  </si>
  <si>
    <t>2022-11-04 07:31:55</t>
  </si>
  <si>
    <t>2022-11-04 07:46:25</t>
  </si>
  <si>
    <t>Canal St &amp; Adams St</t>
  </si>
  <si>
    <t>13011</t>
  </si>
  <si>
    <t>St. Clair St &amp; Erie St</t>
  </si>
  <si>
    <t>13016</t>
  </si>
  <si>
    <t>1C31AD03897EE385</t>
  </si>
  <si>
    <t>2022-05-11 08:53:28</t>
  </si>
  <si>
    <t>2022-05-11 09:31:22</t>
  </si>
  <si>
    <t>DuSable Lake Shore Dr &amp; Monroe St</t>
  </si>
  <si>
    <t>13300</t>
  </si>
  <si>
    <t>Field Blvd &amp; South Water St</t>
  </si>
  <si>
    <t>15534</t>
  </si>
  <si>
    <t>7FB986AD5D3DE9D6</t>
  </si>
  <si>
    <t>2024-02-05 21:10:06</t>
  </si>
  <si>
    <t>2024-02-05 21:15:44</t>
  </si>
  <si>
    <t>13001</t>
  </si>
  <si>
    <t>TA1307000117</t>
  </si>
  <si>
    <t>9/30/2014 23:59</t>
  </si>
  <si>
    <t>10/1/2014 0:01</t>
  </si>
  <si>
    <t>Ashland Ave &amp; Grand Ave</t>
  </si>
  <si>
    <t>Wood St &amp; Grand Ave</t>
  </si>
  <si>
    <t>12/31/2014 23:50</t>
  </si>
  <si>
    <t>12/31/2014 23:52</t>
  </si>
  <si>
    <t>Stetson Ave &amp; South Water St</t>
  </si>
  <si>
    <t>State St &amp; Randolph St</t>
  </si>
  <si>
    <t>7/31/2014 23:58</t>
  </si>
  <si>
    <t>8/1/2014 0:07</t>
  </si>
  <si>
    <t>LaSalle St &amp; Washington St</t>
  </si>
  <si>
    <t>State St &amp; Pearson St</t>
  </si>
  <si>
    <t>6/22/2013 18:29</t>
  </si>
  <si>
    <t>0FEFDE2603568365</t>
  </si>
  <si>
    <t>2021-02-14 17:52:38</t>
  </si>
  <si>
    <t>2021-02-14 18:12:09</t>
  </si>
  <si>
    <t>Bosworth Ave &amp; Howard St</t>
  </si>
  <si>
    <t>16806</t>
  </si>
  <si>
    <t>1CB408029E2B5F74</t>
  </si>
  <si>
    <t>2025-03-24 16:04:22.239</t>
  </si>
  <si>
    <t>2025-03-24 16:27:41.347</t>
  </si>
  <si>
    <t>15655</t>
  </si>
  <si>
    <t>30D9DC61227D1AF3</t>
  </si>
  <si>
    <t>2021-03-28 01:26:28</t>
  </si>
  <si>
    <t>2021-03-28 01:36:55</t>
  </si>
  <si>
    <t>Humboldt Blvd &amp; Armitage Ave</t>
  </si>
  <si>
    <t>15651</t>
  </si>
  <si>
    <t>Central Park Ave &amp; Bloomingdale Ave</t>
  </si>
  <si>
    <t>18017</t>
  </si>
  <si>
    <t>3/31/2016 23:46</t>
  </si>
  <si>
    <t>3/31/2016 23:57</t>
  </si>
  <si>
    <t>Damen Ave &amp; Chicago Ave</t>
  </si>
  <si>
    <t>Leavitt St &amp; North Ave</t>
  </si>
  <si>
    <t>6/30/2016 23:58</t>
  </si>
  <si>
    <t>7/1/2016 0:14</t>
  </si>
  <si>
    <t>Millennium Park</t>
  </si>
  <si>
    <t>5/31/2016 23:57</t>
  </si>
  <si>
    <t>6/1/2016 0:14</t>
  </si>
  <si>
    <t>May St &amp; Taylor St</t>
  </si>
  <si>
    <t>Halsted St &amp; Maxwell St</t>
  </si>
  <si>
    <t>4/30/2016 23:58</t>
  </si>
  <si>
    <t>5/1/2016 0:07</t>
  </si>
  <si>
    <t>87DB80E048A1BF9F</t>
  </si>
  <si>
    <t>2023-09-02 09:26:43</t>
  </si>
  <si>
    <t>2023-09-02 09:38:19</t>
  </si>
  <si>
    <t>Clark St &amp; Drummond Pl</t>
  </si>
  <si>
    <t>TA1307000142</t>
  </si>
  <si>
    <t>Racine Ave &amp; Fullerton Ave</t>
  </si>
  <si>
    <t>TA1306000026</t>
  </si>
  <si>
    <t>8FED874C809DC021</t>
  </si>
  <si>
    <t>2020-01-30 14:22:39</t>
  </si>
  <si>
    <t>2020-01-30 14:26:22</t>
  </si>
  <si>
    <t>Southport Ave &amp; Irving Park Rd</t>
  </si>
  <si>
    <t>67CB39987F4E895B</t>
  </si>
  <si>
    <t>2024-09-26 15:31:32.529</t>
  </si>
  <si>
    <t>2024-09-26 15:53:13.501</t>
  </si>
  <si>
    <t>2018-10-01 00:03:59</t>
  </si>
  <si>
    <t>2018-10-01 00:10:55</t>
  </si>
  <si>
    <t>416.0</t>
  </si>
  <si>
    <t>Larrabee St &amp; Webster Ave</t>
  </si>
  <si>
    <t>7A50CCAF1EDDB28F</t>
  </si>
  <si>
    <t>2020-05-25 10:47:11</t>
  </si>
  <si>
    <t>2020-05-25 11:05:40</t>
  </si>
  <si>
    <t>Clark St &amp; Wrightwood Ave</t>
  </si>
  <si>
    <t>Clark St &amp; Leland Ave</t>
  </si>
  <si>
    <t>9991629435C5E20E</t>
  </si>
  <si>
    <t>2024-03-06 17:15:14</t>
  </si>
  <si>
    <t>2024-03-06 17:16:04</t>
  </si>
  <si>
    <t>DF450C72FD109C01</t>
  </si>
  <si>
    <t>2020-10-31 23:50:08</t>
  </si>
  <si>
    <t>2020-11-01 00:04:16</t>
  </si>
  <si>
    <t>Kedzie Ave &amp; Milwaukee Ave</t>
  </si>
  <si>
    <t>0C201AA7EA0EA1AD</t>
  </si>
  <si>
    <t>2022-12-18 06:42:33</t>
  </si>
  <si>
    <t>2022-12-18 07:08:44</t>
  </si>
  <si>
    <t>Broadway &amp; Belmont Ave</t>
  </si>
  <si>
    <t>13277</t>
  </si>
  <si>
    <t>Sedgwick St &amp; Webster Ave</t>
  </si>
  <si>
    <t>13191</t>
  </si>
  <si>
    <t>790A93E87E5EE83C</t>
  </si>
  <si>
    <t>2026-02-08 14:44:11.880</t>
  </si>
  <si>
    <t>2026-02-08 14:48:14.329</t>
  </si>
  <si>
    <t>6/30/2014 23:56</t>
  </si>
  <si>
    <t>7/1/2014 0:00</t>
  </si>
  <si>
    <t>92485E5FB5888ACD</t>
  </si>
  <si>
    <t>2023-05-06 18:54:08</t>
  </si>
  <si>
    <t>2023-05-06 19:03:35</t>
  </si>
  <si>
    <t>Southport Ave &amp; Belmont Ave</t>
  </si>
  <si>
    <t>13229</t>
  </si>
  <si>
    <t>EAFCCCFB0A3FC5A1</t>
  </si>
  <si>
    <t>2021-08-10 17:23:14</t>
  </si>
  <si>
    <t>2021-08-10 17:39:24</t>
  </si>
  <si>
    <t>EAEBE70DBF015886</t>
  </si>
  <si>
    <t>2025-11-04 14:32:09.067</t>
  </si>
  <si>
    <t>2025-11-04 14:36:43.998</t>
  </si>
  <si>
    <t>013609308856B7FC</t>
  </si>
  <si>
    <t>2025-01-11 15:44:06.795</t>
  </si>
  <si>
    <t>2025-01-11 15:49:11.139</t>
  </si>
  <si>
    <t>Racine Ave &amp; Belmont Ave</t>
  </si>
  <si>
    <t>TA1308000019</t>
  </si>
  <si>
    <t>4471C70731AB2E45</t>
  </si>
  <si>
    <t>2021-10-21 09:12:37</t>
  </si>
  <si>
    <t>2021-10-21 09:14:14</t>
  </si>
  <si>
    <t>34E4ED3ADF1D821B</t>
  </si>
  <si>
    <t>2023-04-19 11:29:02</t>
  </si>
  <si>
    <t>2023-04-19 11:52:12</t>
  </si>
  <si>
    <t>DB692A70BD2DD4E3</t>
  </si>
  <si>
    <t>2022-10-01 16:29:26</t>
  </si>
  <si>
    <t>2022-10-01 16:49:06</t>
  </si>
  <si>
    <t>Damen Ave &amp; Charleston St</t>
  </si>
  <si>
    <t>13288</t>
  </si>
  <si>
    <t>Damen Ave &amp; Cullerton St</t>
  </si>
  <si>
    <t>13089</t>
  </si>
  <si>
    <t>F930E2C6872D6B32</t>
  </si>
  <si>
    <t>2021-09-28 14:24:51</t>
  </si>
  <si>
    <t>2021-09-28 14:40:05</t>
  </si>
  <si>
    <t>DCC4ABF0F7DCCE6A</t>
  </si>
  <si>
    <t>2025-09-01 01:41:00.775</t>
  </si>
  <si>
    <t>2025-09-01 01:48:59.228</t>
  </si>
  <si>
    <t>2FC08B198BA431AA</t>
  </si>
  <si>
    <t>2026-03-31 13:35:55.605</t>
  </si>
  <si>
    <t>2026-03-31 13:39:31.356</t>
  </si>
  <si>
    <t>CHI00372</t>
  </si>
  <si>
    <t>CHI00238</t>
  </si>
  <si>
    <t>2019-01-01 00:08:13</t>
  </si>
  <si>
    <t>2019-01-01 00:15:34</t>
  </si>
  <si>
    <t>441.0</t>
  </si>
  <si>
    <t>Dearborn St &amp; Van Buren St (*)</t>
  </si>
  <si>
    <t>6322270563BF5470</t>
  </si>
  <si>
    <t>2023-11-03 09:44:02</t>
  </si>
  <si>
    <t>2023-11-03 10:17:15</t>
  </si>
  <si>
    <t>13323</t>
  </si>
  <si>
    <t>6/10/2013 10:44</t>
  </si>
  <si>
    <t>9/30/2017 23:59:53</t>
  </si>
  <si>
    <t>10/1/2017 00:05:47</t>
  </si>
  <si>
    <t>California Ave &amp; Division St</t>
  </si>
  <si>
    <t>California Ave &amp; Francis Pl</t>
  </si>
  <si>
    <t>12/31/2017 23:54</t>
  </si>
  <si>
    <t>1/1/2018 0:18</t>
  </si>
  <si>
    <t>Mies van der Rohe Way &amp; Chestnut St</t>
  </si>
  <si>
    <t>73A77762838B32FD</t>
  </si>
  <si>
    <t>2021-12-11 03:43:29</t>
  </si>
  <si>
    <t>2021-12-11 04:10:23</t>
  </si>
  <si>
    <t>LaSalle Dr &amp; Huron St</t>
  </si>
  <si>
    <t>KP1705001026</t>
  </si>
  <si>
    <t>Clarendon Ave &amp; Leland Ave</t>
  </si>
  <si>
    <t>TA1307000119</t>
  </si>
  <si>
    <t>292E027607D218B6</t>
  </si>
  <si>
    <t>2022-07-26 12:53:38</t>
  </si>
  <si>
    <t>2022-07-26 12:55:31</t>
  </si>
  <si>
    <t>Buckingham Fountain (Temp)</t>
  </si>
  <si>
    <t>15541</t>
  </si>
  <si>
    <t>Michigan Ave &amp; 8th St</t>
  </si>
  <si>
    <t>623</t>
  </si>
  <si>
    <t>year</t>
  </si>
  <si>
    <t>2021</t>
  </si>
  <si>
    <t>2025</t>
  </si>
  <si>
    <t>2023</t>
  </si>
  <si>
    <t>2020</t>
  </si>
  <si>
    <t>2024</t>
  </si>
  <si>
    <t>2026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</si>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</sst>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49" fontId="0" fillId="4" borderId="0" xfId="0" applyNumberFormat="1" applyFill="1"/>
    <xf numFmtId="49" fontId="0" fillId="5" borderId="0" xfId="0" applyNumberFormat="1" applyFill="1"/>
    <xf numFmtId="0" fontId="0" fillId="6" borderId="0" xfId="0" applyFill="1"/>
    <xf numFmtId="49" fontId="0" fillId="6" borderId="0" xfId="0" applyNumberFormat="1" applyFill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workbookViewId="0">
      <selection activeCell="H26" sqref="H26"/>
    </sheetView>
  </sheetViews>
  <sheetFormatPr defaultRowHeight="14.4" x14ac:dyDescent="0.3"/>
  <cols>
    <col min="1" max="1" width="27.21875" bestFit="1" customWidth="1"/>
    <col min="2" max="2" width="8.109375" style="1" customWidth="1"/>
    <col min="3" max="15" width="15.109375" customWidth="1"/>
  </cols>
  <sheetData>
    <row r="1" spans="1:15" x14ac:dyDescent="0.3">
      <c r="A1" t="s">
        <v>0</v>
      </c>
      <c r="B1" s="1" t="s">
        <v>680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86</v>
      </c>
      <c r="B2" s="1">
        <v>2013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87</v>
      </c>
      <c r="I2" t="s">
        <v>88</v>
      </c>
    </row>
    <row r="3" spans="1:15" x14ac:dyDescent="0.3">
      <c r="A3" t="s">
        <v>84</v>
      </c>
      <c r="B3" s="1">
        <v>2013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85</v>
      </c>
    </row>
    <row r="4" spans="1:15" x14ac:dyDescent="0.3">
      <c r="A4" t="s">
        <v>139</v>
      </c>
      <c r="B4" s="1">
        <v>2014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140</v>
      </c>
    </row>
    <row r="5" spans="1:15" x14ac:dyDescent="0.3">
      <c r="A5" t="s">
        <v>158</v>
      </c>
      <c r="B5" s="1">
        <v>2014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</row>
    <row r="6" spans="1:15" x14ac:dyDescent="0.3">
      <c r="A6" t="s">
        <v>138</v>
      </c>
      <c r="B6" s="1">
        <v>2014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 t="s">
        <v>54</v>
      </c>
    </row>
    <row r="7" spans="1:15" x14ac:dyDescent="0.3">
      <c r="A7" t="s">
        <v>136</v>
      </c>
      <c r="B7" s="1">
        <v>2014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</row>
    <row r="8" spans="1:15" x14ac:dyDescent="0.3">
      <c r="A8" t="s">
        <v>137</v>
      </c>
      <c r="B8" s="1">
        <v>2014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</row>
    <row r="9" spans="1:15" x14ac:dyDescent="0.3">
      <c r="A9" t="s">
        <v>126</v>
      </c>
      <c r="B9" s="1">
        <v>2015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87</v>
      </c>
    </row>
    <row r="10" spans="1:15" x14ac:dyDescent="0.3">
      <c r="A10" t="s">
        <v>114</v>
      </c>
      <c r="B10" s="1">
        <v>2015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</row>
    <row r="11" spans="1:15" x14ac:dyDescent="0.3">
      <c r="A11" t="s">
        <v>115</v>
      </c>
      <c r="B11" s="1">
        <v>2015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</row>
    <row r="12" spans="1:15" x14ac:dyDescent="0.3">
      <c r="A12" t="s">
        <v>113</v>
      </c>
      <c r="B12" s="1">
        <v>2015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 t="s">
        <v>53</v>
      </c>
      <c r="N12" t="s">
        <v>54</v>
      </c>
    </row>
    <row r="13" spans="1:15" x14ac:dyDescent="0.3">
      <c r="A13" t="s">
        <v>116</v>
      </c>
      <c r="B13" s="1">
        <v>2015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  <c r="N13" t="s">
        <v>54</v>
      </c>
    </row>
    <row r="14" spans="1:15" x14ac:dyDescent="0.3">
      <c r="A14" t="s">
        <v>128</v>
      </c>
      <c r="B14" s="1">
        <v>2015</v>
      </c>
      <c r="C14" t="s">
        <v>43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  <c r="M14" t="s">
        <v>53</v>
      </c>
      <c r="N14" t="s">
        <v>54</v>
      </c>
    </row>
    <row r="15" spans="1:15" x14ac:dyDescent="0.3">
      <c r="A15" t="s">
        <v>127</v>
      </c>
      <c r="B15" s="1">
        <v>2015</v>
      </c>
      <c r="C15" t="s">
        <v>43</v>
      </c>
      <c r="D15" t="s">
        <v>44</v>
      </c>
      <c r="E15" t="s">
        <v>45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  <c r="M15" t="s">
        <v>53</v>
      </c>
      <c r="N15" t="s">
        <v>54</v>
      </c>
    </row>
    <row r="16" spans="1:15" x14ac:dyDescent="0.3">
      <c r="A16" t="s">
        <v>145</v>
      </c>
      <c r="B16" s="1">
        <v>2016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</row>
    <row r="17" spans="1:14" x14ac:dyDescent="0.3">
      <c r="A17" t="s">
        <v>41</v>
      </c>
      <c r="B17" s="1">
        <v>2016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</row>
    <row r="18" spans="1:14" x14ac:dyDescent="0.3">
      <c r="A18" t="s">
        <v>34</v>
      </c>
      <c r="B18" s="1">
        <v>2016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</row>
    <row r="19" spans="1:14" x14ac:dyDescent="0.3">
      <c r="A19" t="s">
        <v>148</v>
      </c>
      <c r="B19" s="1">
        <v>2016</v>
      </c>
      <c r="C19" t="s">
        <v>43</v>
      </c>
      <c r="D19" t="s">
        <v>44</v>
      </c>
      <c r="E19" t="s">
        <v>45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K19" t="s">
        <v>51</v>
      </c>
      <c r="L19" t="s">
        <v>52</v>
      </c>
      <c r="M19" t="s">
        <v>53</v>
      </c>
      <c r="N19" t="s">
        <v>54</v>
      </c>
    </row>
    <row r="20" spans="1:14" x14ac:dyDescent="0.3">
      <c r="A20" t="s">
        <v>147</v>
      </c>
      <c r="B20" s="1">
        <v>2016</v>
      </c>
      <c r="C20" t="s">
        <v>43</v>
      </c>
      <c r="D20" t="s">
        <v>44</v>
      </c>
      <c r="E20" t="s">
        <v>45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K20" t="s">
        <v>51</v>
      </c>
      <c r="L20" t="s">
        <v>52</v>
      </c>
      <c r="M20" t="s">
        <v>53</v>
      </c>
      <c r="N20" t="s">
        <v>54</v>
      </c>
    </row>
    <row r="21" spans="1:14" x14ac:dyDescent="0.3">
      <c r="A21" t="s">
        <v>146</v>
      </c>
      <c r="B21" s="1">
        <v>2016</v>
      </c>
      <c r="C21" t="s">
        <v>43</v>
      </c>
      <c r="D21" t="s">
        <v>44</v>
      </c>
      <c r="E21" t="s">
        <v>45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K21" t="s">
        <v>51</v>
      </c>
      <c r="L21" t="s">
        <v>52</v>
      </c>
      <c r="M21" t="s">
        <v>53</v>
      </c>
      <c r="N21" t="s">
        <v>54</v>
      </c>
    </row>
    <row r="22" spans="1:14" x14ac:dyDescent="0.3">
      <c r="A22" t="s">
        <v>144</v>
      </c>
      <c r="B22" s="1">
        <v>2016</v>
      </c>
      <c r="C22" t="s">
        <v>43</v>
      </c>
      <c r="D22" t="s">
        <v>44</v>
      </c>
      <c r="E22" t="s">
        <v>45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K22" t="s">
        <v>51</v>
      </c>
      <c r="L22" t="s">
        <v>52</v>
      </c>
      <c r="M22" t="s">
        <v>53</v>
      </c>
      <c r="N22" t="s">
        <v>54</v>
      </c>
    </row>
    <row r="23" spans="1:14" x14ac:dyDescent="0.3">
      <c r="A23" t="s">
        <v>42</v>
      </c>
      <c r="B23" s="1">
        <v>2016</v>
      </c>
      <c r="C23" t="s">
        <v>43</v>
      </c>
      <c r="D23" t="s">
        <v>44</v>
      </c>
      <c r="E23" t="s">
        <v>45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K23" t="s">
        <v>51</v>
      </c>
      <c r="L23" t="s">
        <v>52</v>
      </c>
      <c r="M23" t="s">
        <v>53</v>
      </c>
      <c r="N23" t="s">
        <v>54</v>
      </c>
    </row>
    <row r="24" spans="1:14" x14ac:dyDescent="0.3">
      <c r="A24" t="s">
        <v>55</v>
      </c>
      <c r="B24" s="1">
        <v>2016</v>
      </c>
      <c r="C24" t="s">
        <v>43</v>
      </c>
      <c r="D24" t="s">
        <v>44</v>
      </c>
      <c r="E24" t="s">
        <v>45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K24" t="s">
        <v>51</v>
      </c>
      <c r="L24" t="s">
        <v>52</v>
      </c>
      <c r="M24" t="s">
        <v>53</v>
      </c>
      <c r="N24" t="s">
        <v>54</v>
      </c>
    </row>
    <row r="25" spans="1:14" x14ac:dyDescent="0.3">
      <c r="A25" t="s">
        <v>120</v>
      </c>
      <c r="B25" s="1">
        <v>2017</v>
      </c>
      <c r="C25" t="s">
        <v>35</v>
      </c>
      <c r="D25" t="s">
        <v>36</v>
      </c>
      <c r="E25" t="s">
        <v>121</v>
      </c>
      <c r="F25" t="s">
        <v>37</v>
      </c>
      <c r="G25" t="s">
        <v>38</v>
      </c>
      <c r="H25" t="s">
        <v>39</v>
      </c>
      <c r="I25" t="s">
        <v>40</v>
      </c>
    </row>
    <row r="26" spans="1:14" x14ac:dyDescent="0.3">
      <c r="A26" t="s">
        <v>170</v>
      </c>
      <c r="B26" s="1">
        <v>2017</v>
      </c>
      <c r="C26" t="s">
        <v>35</v>
      </c>
      <c r="D26" t="s">
        <v>36</v>
      </c>
      <c r="E26" t="s">
        <v>121</v>
      </c>
      <c r="F26" t="s">
        <v>37</v>
      </c>
      <c r="G26" t="s">
        <v>38</v>
      </c>
      <c r="H26" t="s">
        <v>39</v>
      </c>
      <c r="I26" t="s">
        <v>40</v>
      </c>
      <c r="J26" t="s">
        <v>171</v>
      </c>
    </row>
    <row r="27" spans="1:14" x14ac:dyDescent="0.3">
      <c r="A27" t="s">
        <v>122</v>
      </c>
      <c r="B27" s="1">
        <v>2017</v>
      </c>
      <c r="C27" t="s">
        <v>43</v>
      </c>
      <c r="D27" t="s">
        <v>90</v>
      </c>
      <c r="E27" t="s">
        <v>91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K27" t="s">
        <v>51</v>
      </c>
      <c r="L27" t="s">
        <v>52</v>
      </c>
      <c r="M27" t="s">
        <v>53</v>
      </c>
      <c r="N27" t="s">
        <v>54</v>
      </c>
    </row>
    <row r="28" spans="1:14" x14ac:dyDescent="0.3">
      <c r="A28" t="s">
        <v>119</v>
      </c>
      <c r="B28" s="1">
        <v>2017</v>
      </c>
      <c r="C28" t="s">
        <v>43</v>
      </c>
      <c r="D28" t="s">
        <v>90</v>
      </c>
      <c r="E28" t="s">
        <v>91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K28" t="s">
        <v>51</v>
      </c>
      <c r="L28" t="s">
        <v>52</v>
      </c>
      <c r="M28" t="s">
        <v>53</v>
      </c>
      <c r="N28" t="s">
        <v>54</v>
      </c>
    </row>
    <row r="29" spans="1:14" x14ac:dyDescent="0.3">
      <c r="A29" t="s">
        <v>172</v>
      </c>
      <c r="B29" s="1">
        <v>2017</v>
      </c>
      <c r="C29" t="s">
        <v>43</v>
      </c>
      <c r="D29" t="s">
        <v>90</v>
      </c>
      <c r="E29" t="s">
        <v>91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K29" t="s">
        <v>51</v>
      </c>
      <c r="L29" t="s">
        <v>52</v>
      </c>
      <c r="M29" t="s">
        <v>53</v>
      </c>
      <c r="N29" t="s">
        <v>54</v>
      </c>
    </row>
    <row r="30" spans="1:14" x14ac:dyDescent="0.3">
      <c r="A30" t="s">
        <v>173</v>
      </c>
      <c r="B30" s="1">
        <v>2017</v>
      </c>
      <c r="C30" t="s">
        <v>43</v>
      </c>
      <c r="D30" t="s">
        <v>90</v>
      </c>
      <c r="E30" t="s">
        <v>91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K30" t="s">
        <v>51</v>
      </c>
      <c r="L30" t="s">
        <v>52</v>
      </c>
      <c r="M30" t="s">
        <v>53</v>
      </c>
      <c r="N30" t="s">
        <v>54</v>
      </c>
    </row>
    <row r="31" spans="1:14" x14ac:dyDescent="0.3">
      <c r="A31" t="s">
        <v>69</v>
      </c>
      <c r="B31" s="1">
        <v>2018</v>
      </c>
      <c r="C31" t="s">
        <v>70</v>
      </c>
      <c r="D31" t="s">
        <v>71</v>
      </c>
      <c r="E31" t="s">
        <v>72</v>
      </c>
      <c r="F31" t="s">
        <v>73</v>
      </c>
      <c r="G31" t="s">
        <v>74</v>
      </c>
      <c r="H31" t="s">
        <v>75</v>
      </c>
      <c r="I31" t="s">
        <v>76</v>
      </c>
      <c r="J31" t="s">
        <v>77</v>
      </c>
      <c r="K31" t="s">
        <v>78</v>
      </c>
      <c r="L31" t="s">
        <v>79</v>
      </c>
      <c r="M31" t="s">
        <v>80</v>
      </c>
      <c r="N31" t="s">
        <v>81</v>
      </c>
    </row>
    <row r="32" spans="1:14" x14ac:dyDescent="0.3">
      <c r="A32" t="s">
        <v>117</v>
      </c>
      <c r="B32" s="1">
        <v>2018</v>
      </c>
      <c r="C32" t="s">
        <v>43</v>
      </c>
      <c r="D32" t="s">
        <v>90</v>
      </c>
      <c r="E32" t="s">
        <v>91</v>
      </c>
      <c r="F32" t="s">
        <v>46</v>
      </c>
      <c r="G32" t="s">
        <v>47</v>
      </c>
      <c r="H32" t="s">
        <v>48</v>
      </c>
      <c r="I32" t="s">
        <v>49</v>
      </c>
      <c r="J32" t="s">
        <v>50</v>
      </c>
      <c r="K32" t="s">
        <v>51</v>
      </c>
      <c r="L32" t="s">
        <v>52</v>
      </c>
      <c r="M32" t="s">
        <v>53</v>
      </c>
      <c r="N32" t="s">
        <v>54</v>
      </c>
    </row>
    <row r="33" spans="1:15" x14ac:dyDescent="0.3">
      <c r="A33" t="s">
        <v>89</v>
      </c>
      <c r="B33" s="1">
        <v>2018</v>
      </c>
      <c r="C33" t="s">
        <v>43</v>
      </c>
      <c r="D33" t="s">
        <v>90</v>
      </c>
      <c r="E33" t="s">
        <v>91</v>
      </c>
      <c r="F33" t="s">
        <v>46</v>
      </c>
      <c r="G33" t="s">
        <v>47</v>
      </c>
      <c r="H33" t="s">
        <v>48</v>
      </c>
      <c r="I33" t="s">
        <v>49</v>
      </c>
      <c r="J33" t="s">
        <v>50</v>
      </c>
      <c r="K33" t="s">
        <v>51</v>
      </c>
      <c r="L33" t="s">
        <v>52</v>
      </c>
      <c r="M33" t="s">
        <v>53</v>
      </c>
      <c r="N33" t="s">
        <v>54</v>
      </c>
    </row>
    <row r="34" spans="1:15" x14ac:dyDescent="0.3">
      <c r="A34" t="s">
        <v>152</v>
      </c>
      <c r="B34" s="1">
        <v>2018</v>
      </c>
      <c r="C34" t="s">
        <v>43</v>
      </c>
      <c r="D34" t="s">
        <v>90</v>
      </c>
      <c r="E34" t="s">
        <v>91</v>
      </c>
      <c r="F34" t="s">
        <v>46</v>
      </c>
      <c r="G34" t="s">
        <v>47</v>
      </c>
      <c r="H34" t="s">
        <v>48</v>
      </c>
      <c r="I34" t="s">
        <v>49</v>
      </c>
      <c r="J34" t="s">
        <v>50</v>
      </c>
      <c r="K34" t="s">
        <v>51</v>
      </c>
      <c r="L34" t="s">
        <v>52</v>
      </c>
      <c r="M34" t="s">
        <v>53</v>
      </c>
      <c r="N34" t="s">
        <v>54</v>
      </c>
    </row>
    <row r="35" spans="1:15" x14ac:dyDescent="0.3">
      <c r="A35" t="s">
        <v>168</v>
      </c>
      <c r="B35" s="1">
        <v>2019</v>
      </c>
      <c r="C35" t="s">
        <v>43</v>
      </c>
      <c r="D35" t="s">
        <v>90</v>
      </c>
      <c r="E35" t="s">
        <v>91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K35" t="s">
        <v>51</v>
      </c>
      <c r="L35" t="s">
        <v>52</v>
      </c>
      <c r="M35" t="s">
        <v>53</v>
      </c>
      <c r="N35" t="s">
        <v>54</v>
      </c>
    </row>
    <row r="36" spans="1:15" x14ac:dyDescent="0.3">
      <c r="A36" t="s">
        <v>102</v>
      </c>
      <c r="B36" s="1">
        <v>2019</v>
      </c>
      <c r="C36" t="s">
        <v>70</v>
      </c>
      <c r="D36" t="s">
        <v>71</v>
      </c>
      <c r="E36" t="s">
        <v>72</v>
      </c>
      <c r="F36" t="s">
        <v>73</v>
      </c>
      <c r="G36" t="s">
        <v>74</v>
      </c>
      <c r="H36" t="s">
        <v>75</v>
      </c>
      <c r="I36" t="s">
        <v>76</v>
      </c>
      <c r="J36" t="s">
        <v>77</v>
      </c>
      <c r="K36" t="s">
        <v>78</v>
      </c>
      <c r="L36" t="s">
        <v>79</v>
      </c>
      <c r="M36" t="s">
        <v>80</v>
      </c>
      <c r="N36" t="s">
        <v>81</v>
      </c>
    </row>
    <row r="37" spans="1:15" x14ac:dyDescent="0.3">
      <c r="A37" t="s">
        <v>97</v>
      </c>
      <c r="B37" s="1">
        <v>2019</v>
      </c>
      <c r="C37" t="s">
        <v>43</v>
      </c>
      <c r="D37" t="s">
        <v>90</v>
      </c>
      <c r="E37" t="s">
        <v>91</v>
      </c>
      <c r="F37" t="s">
        <v>46</v>
      </c>
      <c r="G37" t="s">
        <v>47</v>
      </c>
      <c r="H37" t="s">
        <v>48</v>
      </c>
      <c r="I37" t="s">
        <v>49</v>
      </c>
      <c r="J37" t="s">
        <v>50</v>
      </c>
      <c r="K37" t="s">
        <v>51</v>
      </c>
      <c r="L37" t="s">
        <v>52</v>
      </c>
      <c r="M37" t="s">
        <v>53</v>
      </c>
      <c r="N37" t="s">
        <v>54</v>
      </c>
    </row>
    <row r="38" spans="1:15" x14ac:dyDescent="0.3">
      <c r="A38" t="s">
        <v>118</v>
      </c>
      <c r="B38" s="1">
        <v>2019</v>
      </c>
      <c r="C38" t="s">
        <v>43</v>
      </c>
      <c r="D38" t="s">
        <v>90</v>
      </c>
      <c r="E38" t="s">
        <v>91</v>
      </c>
      <c r="F38" t="s">
        <v>46</v>
      </c>
      <c r="G38" t="s">
        <v>47</v>
      </c>
      <c r="H38" t="s">
        <v>48</v>
      </c>
      <c r="I38" t="s">
        <v>49</v>
      </c>
      <c r="J38" t="s">
        <v>50</v>
      </c>
      <c r="K38" t="s">
        <v>51</v>
      </c>
      <c r="L38" t="s">
        <v>52</v>
      </c>
      <c r="M38" t="s">
        <v>53</v>
      </c>
      <c r="N38" t="s">
        <v>54</v>
      </c>
    </row>
    <row r="39" spans="1:15" x14ac:dyDescent="0.3">
      <c r="A39" t="s">
        <v>56</v>
      </c>
      <c r="B39" s="1" t="str">
        <f t="shared" ref="B39:B47" si="0">LEFT(A39, 4)</f>
        <v>2020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</row>
    <row r="40" spans="1:15" x14ac:dyDescent="0.3">
      <c r="A40" t="s">
        <v>153</v>
      </c>
      <c r="B40" s="1" t="str">
        <f t="shared" si="0"/>
        <v>2020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</row>
    <row r="41" spans="1:15" x14ac:dyDescent="0.3">
      <c r="A41" t="s">
        <v>66</v>
      </c>
      <c r="B41" s="1" t="str">
        <f t="shared" si="0"/>
        <v>2020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</row>
    <row r="42" spans="1:15" x14ac:dyDescent="0.3">
      <c r="A42" t="s">
        <v>112</v>
      </c>
      <c r="B42" s="1" t="str">
        <f t="shared" si="0"/>
        <v>2020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</row>
    <row r="43" spans="1:15" x14ac:dyDescent="0.3">
      <c r="A43" t="s">
        <v>98</v>
      </c>
      <c r="B43" s="1" t="str">
        <f t="shared" si="0"/>
        <v>2020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</row>
    <row r="44" spans="1:15" x14ac:dyDescent="0.3">
      <c r="A44" t="s">
        <v>82</v>
      </c>
      <c r="B44" s="1" t="str">
        <f t="shared" si="0"/>
        <v>2020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</row>
    <row r="45" spans="1:15" x14ac:dyDescent="0.3">
      <c r="A45" t="s">
        <v>155</v>
      </c>
      <c r="B45" s="1" t="str">
        <f t="shared" si="0"/>
        <v>2020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</row>
    <row r="46" spans="1:15" x14ac:dyDescent="0.3">
      <c r="A46" t="s">
        <v>83</v>
      </c>
      <c r="B46" s="1" t="str">
        <f t="shared" si="0"/>
        <v>2020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</row>
    <row r="47" spans="1:15" x14ac:dyDescent="0.3">
      <c r="A47" t="s">
        <v>31</v>
      </c>
      <c r="B47" s="1" t="str">
        <f t="shared" si="0"/>
        <v>2020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</row>
    <row r="48" spans="1:15" x14ac:dyDescent="0.3">
      <c r="A48" t="s">
        <v>150</v>
      </c>
      <c r="B48" s="1">
        <v>2020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</row>
    <row r="49" spans="1:15" x14ac:dyDescent="0.3">
      <c r="A49" t="s">
        <v>14</v>
      </c>
      <c r="B49" s="1" t="str">
        <f t="shared" ref="B49:B80" si="1">LEFT(A49, 4)</f>
        <v>2021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21</v>
      </c>
      <c r="J49" t="s">
        <v>22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</row>
    <row r="50" spans="1:15" x14ac:dyDescent="0.3">
      <c r="A50" t="s">
        <v>141</v>
      </c>
      <c r="B50" s="1" t="str">
        <f t="shared" si="1"/>
        <v>2021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</row>
    <row r="51" spans="1:15" x14ac:dyDescent="0.3">
      <c r="A51" t="s">
        <v>143</v>
      </c>
      <c r="B51" s="1" t="str">
        <f t="shared" si="1"/>
        <v>2021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</row>
    <row r="52" spans="1:15" x14ac:dyDescent="0.3">
      <c r="A52" t="s">
        <v>60</v>
      </c>
      <c r="B52" s="1" t="str">
        <f t="shared" si="1"/>
        <v>2021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</row>
    <row r="53" spans="1:15" x14ac:dyDescent="0.3">
      <c r="A53" t="s">
        <v>100</v>
      </c>
      <c r="B53" s="1" t="str">
        <f t="shared" si="1"/>
        <v>2021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</row>
    <row r="54" spans="1:15" x14ac:dyDescent="0.3">
      <c r="A54" t="s">
        <v>96</v>
      </c>
      <c r="B54" s="1" t="str">
        <f t="shared" si="1"/>
        <v>2021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</row>
    <row r="55" spans="1:15" x14ac:dyDescent="0.3">
      <c r="A55" t="s">
        <v>108</v>
      </c>
      <c r="B55" s="1" t="str">
        <f t="shared" si="1"/>
        <v>2021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</row>
    <row r="56" spans="1:15" x14ac:dyDescent="0.3">
      <c r="A56" t="s">
        <v>160</v>
      </c>
      <c r="B56" s="1" t="str">
        <f t="shared" si="1"/>
        <v>2021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 t="s">
        <v>25</v>
      </c>
      <c r="N56" t="s">
        <v>26</v>
      </c>
      <c r="O56" t="s">
        <v>27</v>
      </c>
    </row>
    <row r="57" spans="1:15" x14ac:dyDescent="0.3">
      <c r="A57" t="s">
        <v>165</v>
      </c>
      <c r="B57" s="1" t="str">
        <f t="shared" si="1"/>
        <v>2021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t="s">
        <v>25</v>
      </c>
      <c r="N57" t="s">
        <v>26</v>
      </c>
      <c r="O57" t="s">
        <v>27</v>
      </c>
    </row>
    <row r="58" spans="1:15" x14ac:dyDescent="0.3">
      <c r="A58" t="s">
        <v>162</v>
      </c>
      <c r="B58" s="1" t="str">
        <f t="shared" si="1"/>
        <v>2021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  <c r="M58" t="s">
        <v>25</v>
      </c>
      <c r="N58" t="s">
        <v>26</v>
      </c>
      <c r="O58" t="s">
        <v>27</v>
      </c>
    </row>
    <row r="59" spans="1:15" x14ac:dyDescent="0.3">
      <c r="A59" t="s">
        <v>124</v>
      </c>
      <c r="B59" s="1" t="str">
        <f t="shared" si="1"/>
        <v>2021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24</v>
      </c>
      <c r="M59" t="s">
        <v>25</v>
      </c>
      <c r="N59" t="s">
        <v>26</v>
      </c>
      <c r="O59" t="s">
        <v>27</v>
      </c>
    </row>
    <row r="60" spans="1:15" x14ac:dyDescent="0.3">
      <c r="A60" t="s">
        <v>174</v>
      </c>
      <c r="B60" s="1" t="str">
        <f t="shared" si="1"/>
        <v>2021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 t="s">
        <v>25</v>
      </c>
      <c r="N60" t="s">
        <v>26</v>
      </c>
      <c r="O60" t="s">
        <v>27</v>
      </c>
    </row>
    <row r="61" spans="1:15" x14ac:dyDescent="0.3">
      <c r="A61" t="s">
        <v>103</v>
      </c>
      <c r="B61" s="1" t="str">
        <f t="shared" si="1"/>
        <v>2022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 t="s">
        <v>21</v>
      </c>
      <c r="J61" t="s">
        <v>22</v>
      </c>
      <c r="K61" t="s">
        <v>23</v>
      </c>
      <c r="L61" t="s">
        <v>24</v>
      </c>
      <c r="M61" t="s">
        <v>25</v>
      </c>
      <c r="N61" t="s">
        <v>26</v>
      </c>
      <c r="O61" t="s">
        <v>27</v>
      </c>
    </row>
    <row r="62" spans="1:15" x14ac:dyDescent="0.3">
      <c r="A62" t="s">
        <v>95</v>
      </c>
      <c r="B62" s="1" t="str">
        <f t="shared" si="1"/>
        <v>2022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23</v>
      </c>
      <c r="L62" t="s">
        <v>24</v>
      </c>
      <c r="M62" t="s">
        <v>25</v>
      </c>
      <c r="N62" t="s">
        <v>26</v>
      </c>
      <c r="O62" t="s">
        <v>27</v>
      </c>
    </row>
    <row r="63" spans="1:15" x14ac:dyDescent="0.3">
      <c r="A63" t="s">
        <v>104</v>
      </c>
      <c r="B63" s="1" t="str">
        <f t="shared" si="1"/>
        <v>2022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23</v>
      </c>
      <c r="L63" t="s">
        <v>24</v>
      </c>
      <c r="M63" t="s">
        <v>25</v>
      </c>
      <c r="N63" t="s">
        <v>26</v>
      </c>
      <c r="O63" t="s">
        <v>27</v>
      </c>
    </row>
    <row r="64" spans="1:15" x14ac:dyDescent="0.3">
      <c r="A64" t="s">
        <v>62</v>
      </c>
      <c r="B64" s="1" t="str">
        <f t="shared" si="1"/>
        <v>2022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 t="s">
        <v>24</v>
      </c>
      <c r="M64" t="s">
        <v>25</v>
      </c>
      <c r="N64" t="s">
        <v>26</v>
      </c>
      <c r="O64" t="s">
        <v>27</v>
      </c>
    </row>
    <row r="65" spans="1:15" x14ac:dyDescent="0.3">
      <c r="A65" t="s">
        <v>134</v>
      </c>
      <c r="B65" s="1" t="str">
        <f t="shared" si="1"/>
        <v>2022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 t="s">
        <v>25</v>
      </c>
      <c r="N65" t="s">
        <v>26</v>
      </c>
      <c r="O65" t="s">
        <v>27</v>
      </c>
    </row>
    <row r="66" spans="1:15" x14ac:dyDescent="0.3">
      <c r="A66" t="s">
        <v>105</v>
      </c>
      <c r="B66" s="1" t="str">
        <f t="shared" si="1"/>
        <v>2022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23</v>
      </c>
      <c r="L66" t="s">
        <v>24</v>
      </c>
      <c r="M66" t="s">
        <v>25</v>
      </c>
      <c r="N66" t="s">
        <v>26</v>
      </c>
      <c r="O66" t="s">
        <v>27</v>
      </c>
    </row>
    <row r="67" spans="1:15" x14ac:dyDescent="0.3">
      <c r="A67" t="s">
        <v>175</v>
      </c>
      <c r="B67" s="1" t="str">
        <f t="shared" si="1"/>
        <v>2022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 t="s">
        <v>24</v>
      </c>
      <c r="M67" t="s">
        <v>25</v>
      </c>
      <c r="N67" t="s">
        <v>26</v>
      </c>
      <c r="O67" t="s">
        <v>27</v>
      </c>
    </row>
    <row r="68" spans="1:15" x14ac:dyDescent="0.3">
      <c r="A68" t="s">
        <v>94</v>
      </c>
      <c r="B68" s="1" t="str">
        <f t="shared" si="1"/>
        <v>2022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</row>
    <row r="69" spans="1:15" x14ac:dyDescent="0.3">
      <c r="A69" t="s">
        <v>110</v>
      </c>
      <c r="B69" s="1" t="str">
        <f t="shared" si="1"/>
        <v>2022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 t="s">
        <v>25</v>
      </c>
      <c r="N69" t="s">
        <v>26</v>
      </c>
      <c r="O69" t="s">
        <v>27</v>
      </c>
    </row>
    <row r="70" spans="1:15" x14ac:dyDescent="0.3">
      <c r="A70" t="s">
        <v>164</v>
      </c>
      <c r="B70" s="1" t="str">
        <f t="shared" si="1"/>
        <v>2022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  <c r="O70" t="s">
        <v>27</v>
      </c>
    </row>
    <row r="71" spans="1:15" x14ac:dyDescent="0.3">
      <c r="A71" t="s">
        <v>133</v>
      </c>
      <c r="B71" s="1" t="str">
        <f t="shared" si="1"/>
        <v>2022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t="s">
        <v>24</v>
      </c>
      <c r="M71" t="s">
        <v>25</v>
      </c>
      <c r="N71" t="s">
        <v>26</v>
      </c>
      <c r="O71" t="s">
        <v>27</v>
      </c>
    </row>
    <row r="72" spans="1:15" x14ac:dyDescent="0.3">
      <c r="A72" t="s">
        <v>156</v>
      </c>
      <c r="B72" s="1" t="str">
        <f t="shared" si="1"/>
        <v>2022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21</v>
      </c>
      <c r="J72" t="s">
        <v>22</v>
      </c>
      <c r="K72" t="s">
        <v>23</v>
      </c>
      <c r="L72" t="s">
        <v>24</v>
      </c>
      <c r="M72" t="s">
        <v>25</v>
      </c>
      <c r="N72" t="s">
        <v>26</v>
      </c>
      <c r="O72" t="s">
        <v>27</v>
      </c>
    </row>
    <row r="73" spans="1:15" x14ac:dyDescent="0.3">
      <c r="A73" t="s">
        <v>67</v>
      </c>
      <c r="B73" s="1" t="str">
        <f t="shared" si="1"/>
        <v>2023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 t="s">
        <v>24</v>
      </c>
      <c r="M73" t="s">
        <v>25</v>
      </c>
      <c r="N73" t="s">
        <v>26</v>
      </c>
      <c r="O73" t="s">
        <v>27</v>
      </c>
    </row>
    <row r="74" spans="1:15" x14ac:dyDescent="0.3">
      <c r="A74" t="s">
        <v>29</v>
      </c>
      <c r="B74" s="1" t="str">
        <f t="shared" si="1"/>
        <v>2023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 t="s">
        <v>24</v>
      </c>
      <c r="M74" t="s">
        <v>25</v>
      </c>
      <c r="N74" t="s">
        <v>26</v>
      </c>
      <c r="O74" t="s">
        <v>27</v>
      </c>
    </row>
    <row r="75" spans="1:15" x14ac:dyDescent="0.3">
      <c r="A75" t="s">
        <v>30</v>
      </c>
      <c r="B75" s="1" t="str">
        <f t="shared" si="1"/>
        <v>2023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t="s">
        <v>24</v>
      </c>
      <c r="M75" t="s">
        <v>25</v>
      </c>
      <c r="N75" t="s">
        <v>26</v>
      </c>
      <c r="O75" t="s">
        <v>27</v>
      </c>
    </row>
    <row r="76" spans="1:15" x14ac:dyDescent="0.3">
      <c r="A76" t="s">
        <v>163</v>
      </c>
      <c r="B76" s="1" t="str">
        <f t="shared" si="1"/>
        <v>2023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t="s">
        <v>24</v>
      </c>
      <c r="M76" t="s">
        <v>25</v>
      </c>
      <c r="N76" t="s">
        <v>26</v>
      </c>
      <c r="O76" t="s">
        <v>27</v>
      </c>
    </row>
    <row r="77" spans="1:15" x14ac:dyDescent="0.3">
      <c r="A77" t="s">
        <v>159</v>
      </c>
      <c r="B77" s="1" t="str">
        <f t="shared" si="1"/>
        <v>2023</v>
      </c>
      <c r="C77" t="s">
        <v>15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 t="s">
        <v>24</v>
      </c>
      <c r="M77" t="s">
        <v>25</v>
      </c>
      <c r="N77" t="s">
        <v>26</v>
      </c>
      <c r="O77" t="s">
        <v>27</v>
      </c>
    </row>
    <row r="78" spans="1:15" x14ac:dyDescent="0.3">
      <c r="A78" t="s">
        <v>93</v>
      </c>
      <c r="B78" s="1" t="str">
        <f t="shared" si="1"/>
        <v>2023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t="s">
        <v>25</v>
      </c>
      <c r="N78" t="s">
        <v>26</v>
      </c>
      <c r="O78" t="s">
        <v>27</v>
      </c>
    </row>
    <row r="79" spans="1:15" x14ac:dyDescent="0.3">
      <c r="A79" t="s">
        <v>132</v>
      </c>
      <c r="B79" s="1" t="str">
        <f t="shared" si="1"/>
        <v>2023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t="s">
        <v>24</v>
      </c>
      <c r="M79" t="s">
        <v>25</v>
      </c>
      <c r="N79" t="s">
        <v>26</v>
      </c>
      <c r="O79" t="s">
        <v>27</v>
      </c>
    </row>
    <row r="80" spans="1:15" x14ac:dyDescent="0.3">
      <c r="A80" t="s">
        <v>64</v>
      </c>
      <c r="B80" s="1" t="str">
        <f t="shared" si="1"/>
        <v>2023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22</v>
      </c>
      <c r="K80" t="s">
        <v>23</v>
      </c>
      <c r="L80" t="s">
        <v>24</v>
      </c>
      <c r="M80" t="s">
        <v>25</v>
      </c>
      <c r="N80" t="s">
        <v>26</v>
      </c>
      <c r="O80" t="s">
        <v>27</v>
      </c>
    </row>
    <row r="81" spans="1:15" x14ac:dyDescent="0.3">
      <c r="A81" t="s">
        <v>149</v>
      </c>
      <c r="B81" s="1" t="str">
        <f t="shared" ref="B81:B112" si="2">LEFT(A81, 4)</f>
        <v>2023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22</v>
      </c>
      <c r="K81" t="s">
        <v>23</v>
      </c>
      <c r="L81" t="s">
        <v>24</v>
      </c>
      <c r="M81" t="s">
        <v>25</v>
      </c>
      <c r="N81" t="s">
        <v>26</v>
      </c>
      <c r="O81" t="s">
        <v>27</v>
      </c>
    </row>
    <row r="82" spans="1:15" x14ac:dyDescent="0.3">
      <c r="A82" t="s">
        <v>63</v>
      </c>
      <c r="B82" s="1" t="str">
        <f t="shared" si="2"/>
        <v>2023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 t="s">
        <v>24</v>
      </c>
      <c r="M82" t="s">
        <v>25</v>
      </c>
      <c r="N82" t="s">
        <v>26</v>
      </c>
      <c r="O82" t="s">
        <v>27</v>
      </c>
    </row>
    <row r="83" spans="1:15" x14ac:dyDescent="0.3">
      <c r="A83" t="s">
        <v>169</v>
      </c>
      <c r="B83" s="1" t="str">
        <f t="shared" si="2"/>
        <v>2023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 t="s">
        <v>24</v>
      </c>
      <c r="M83" t="s">
        <v>25</v>
      </c>
      <c r="N83" t="s">
        <v>26</v>
      </c>
      <c r="O83" t="s">
        <v>27</v>
      </c>
    </row>
    <row r="84" spans="1:15" x14ac:dyDescent="0.3">
      <c r="A84" t="s">
        <v>57</v>
      </c>
      <c r="B84" s="1" t="str">
        <f t="shared" si="2"/>
        <v>2023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s">
        <v>23</v>
      </c>
      <c r="L84" t="s">
        <v>24</v>
      </c>
      <c r="M84" t="s">
        <v>25</v>
      </c>
      <c r="N84" t="s">
        <v>26</v>
      </c>
      <c r="O84" t="s">
        <v>27</v>
      </c>
    </row>
    <row r="85" spans="1:15" x14ac:dyDescent="0.3">
      <c r="A85" t="s">
        <v>68</v>
      </c>
      <c r="B85" s="1" t="str">
        <f t="shared" si="2"/>
        <v>2024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 t="s">
        <v>21</v>
      </c>
      <c r="J85" t="s">
        <v>22</v>
      </c>
      <c r="K85" t="s">
        <v>23</v>
      </c>
      <c r="L85" t="s">
        <v>24</v>
      </c>
      <c r="M85" t="s">
        <v>25</v>
      </c>
      <c r="N85" t="s">
        <v>26</v>
      </c>
      <c r="O85" t="s">
        <v>27</v>
      </c>
    </row>
    <row r="86" spans="1:15" x14ac:dyDescent="0.3">
      <c r="A86" t="s">
        <v>135</v>
      </c>
      <c r="B86" s="1" t="str">
        <f t="shared" si="2"/>
        <v>2024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  <c r="L86" t="s">
        <v>24</v>
      </c>
      <c r="M86" t="s">
        <v>25</v>
      </c>
      <c r="N86" t="s">
        <v>26</v>
      </c>
      <c r="O86" t="s">
        <v>27</v>
      </c>
    </row>
    <row r="87" spans="1:15" x14ac:dyDescent="0.3">
      <c r="A87" t="s">
        <v>154</v>
      </c>
      <c r="B87" s="1" t="str">
        <f t="shared" si="2"/>
        <v>2024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t="s">
        <v>25</v>
      </c>
      <c r="N87" t="s">
        <v>26</v>
      </c>
      <c r="O87" t="s">
        <v>27</v>
      </c>
    </row>
    <row r="88" spans="1:15" x14ac:dyDescent="0.3">
      <c r="A88" t="s">
        <v>33</v>
      </c>
      <c r="B88" s="1" t="str">
        <f t="shared" si="2"/>
        <v>2024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24</v>
      </c>
      <c r="M88" t="s">
        <v>25</v>
      </c>
      <c r="N88" t="s">
        <v>26</v>
      </c>
      <c r="O88" t="s">
        <v>27</v>
      </c>
    </row>
    <row r="89" spans="1:15" x14ac:dyDescent="0.3">
      <c r="A89" t="s">
        <v>58</v>
      </c>
      <c r="B89" s="1" t="str">
        <f t="shared" si="2"/>
        <v>2024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t="s">
        <v>25</v>
      </c>
      <c r="N89" t="s">
        <v>26</v>
      </c>
      <c r="O89" t="s">
        <v>27</v>
      </c>
    </row>
    <row r="90" spans="1:15" x14ac:dyDescent="0.3">
      <c r="A90" t="s">
        <v>101</v>
      </c>
      <c r="B90" s="1" t="str">
        <f t="shared" si="2"/>
        <v>2024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23</v>
      </c>
      <c r="L90" t="s">
        <v>24</v>
      </c>
      <c r="M90" t="s">
        <v>25</v>
      </c>
      <c r="N90" t="s">
        <v>26</v>
      </c>
      <c r="O90" t="s">
        <v>27</v>
      </c>
    </row>
    <row r="91" spans="1:15" x14ac:dyDescent="0.3">
      <c r="A91" t="s">
        <v>107</v>
      </c>
      <c r="B91" s="1" t="str">
        <f t="shared" si="2"/>
        <v>2024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 t="s">
        <v>25</v>
      </c>
      <c r="N91" t="s">
        <v>26</v>
      </c>
      <c r="O91" t="s">
        <v>27</v>
      </c>
    </row>
    <row r="92" spans="1:15" x14ac:dyDescent="0.3">
      <c r="A92" t="s">
        <v>92</v>
      </c>
      <c r="B92" s="1" t="str">
        <f t="shared" si="2"/>
        <v>2024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s">
        <v>23</v>
      </c>
      <c r="L92" t="s">
        <v>24</v>
      </c>
      <c r="M92" t="s">
        <v>25</v>
      </c>
      <c r="N92" t="s">
        <v>26</v>
      </c>
      <c r="O92" t="s">
        <v>27</v>
      </c>
    </row>
    <row r="93" spans="1:15" x14ac:dyDescent="0.3">
      <c r="A93" t="s">
        <v>151</v>
      </c>
      <c r="B93" s="1" t="str">
        <f t="shared" si="2"/>
        <v>2024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t="s">
        <v>21</v>
      </c>
      <c r="J93" t="s">
        <v>22</v>
      </c>
      <c r="K93" t="s">
        <v>23</v>
      </c>
      <c r="L93" t="s">
        <v>24</v>
      </c>
      <c r="M93" t="s">
        <v>25</v>
      </c>
      <c r="N93" t="s">
        <v>26</v>
      </c>
      <c r="O93" t="s">
        <v>27</v>
      </c>
    </row>
    <row r="94" spans="1:15" x14ac:dyDescent="0.3">
      <c r="A94" t="s">
        <v>131</v>
      </c>
      <c r="B94" s="1" t="str">
        <f t="shared" si="2"/>
        <v>2024</v>
      </c>
      <c r="C94" t="s">
        <v>15</v>
      </c>
      <c r="D94" t="s">
        <v>16</v>
      </c>
      <c r="E94" t="s">
        <v>17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</row>
    <row r="95" spans="1:15" x14ac:dyDescent="0.3">
      <c r="A95" t="s">
        <v>111</v>
      </c>
      <c r="B95" s="1" t="str">
        <f t="shared" si="2"/>
        <v>2024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22</v>
      </c>
      <c r="K95" t="s">
        <v>23</v>
      </c>
      <c r="L95" t="s">
        <v>24</v>
      </c>
      <c r="M95" t="s">
        <v>25</v>
      </c>
      <c r="N95" t="s">
        <v>26</v>
      </c>
      <c r="O95" t="s">
        <v>27</v>
      </c>
    </row>
    <row r="96" spans="1:15" x14ac:dyDescent="0.3">
      <c r="A96" t="s">
        <v>123</v>
      </c>
      <c r="B96" s="1" t="str">
        <f t="shared" si="2"/>
        <v>2024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 t="s">
        <v>21</v>
      </c>
      <c r="J96" t="s">
        <v>22</v>
      </c>
      <c r="K96" t="s">
        <v>23</v>
      </c>
      <c r="L96" t="s">
        <v>24</v>
      </c>
      <c r="M96" t="s">
        <v>25</v>
      </c>
      <c r="N96" t="s">
        <v>26</v>
      </c>
      <c r="O96" t="s">
        <v>27</v>
      </c>
    </row>
    <row r="97" spans="1:15" x14ac:dyDescent="0.3">
      <c r="A97" t="s">
        <v>130</v>
      </c>
      <c r="B97" s="1" t="str">
        <f t="shared" si="2"/>
        <v>2025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s">
        <v>23</v>
      </c>
      <c r="L97" t="s">
        <v>24</v>
      </c>
      <c r="M97" t="s">
        <v>25</v>
      </c>
      <c r="N97" t="s">
        <v>26</v>
      </c>
      <c r="O97" t="s">
        <v>27</v>
      </c>
    </row>
    <row r="98" spans="1:15" x14ac:dyDescent="0.3">
      <c r="A98" t="s">
        <v>130</v>
      </c>
      <c r="B98" s="1" t="str">
        <f t="shared" si="2"/>
        <v>2025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 t="s">
        <v>25</v>
      </c>
      <c r="N98" t="s">
        <v>26</v>
      </c>
      <c r="O98" t="s">
        <v>27</v>
      </c>
    </row>
    <row r="99" spans="1:15" x14ac:dyDescent="0.3">
      <c r="A99" t="s">
        <v>109</v>
      </c>
      <c r="B99" s="1" t="str">
        <f t="shared" si="2"/>
        <v>2025</v>
      </c>
      <c r="C99" t="s">
        <v>15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 t="s">
        <v>21</v>
      </c>
      <c r="J99" t="s">
        <v>22</v>
      </c>
      <c r="K99" t="s">
        <v>23</v>
      </c>
      <c r="L99" t="s">
        <v>24</v>
      </c>
      <c r="M99" t="s">
        <v>25</v>
      </c>
      <c r="N99" t="s">
        <v>26</v>
      </c>
      <c r="O99" t="s">
        <v>27</v>
      </c>
    </row>
    <row r="100" spans="1:15" x14ac:dyDescent="0.3">
      <c r="A100" t="s">
        <v>142</v>
      </c>
      <c r="B100" s="1" t="str">
        <f t="shared" si="2"/>
        <v>2025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24</v>
      </c>
      <c r="M100" t="s">
        <v>25</v>
      </c>
      <c r="N100" t="s">
        <v>26</v>
      </c>
      <c r="O100" t="s">
        <v>27</v>
      </c>
    </row>
    <row r="101" spans="1:15" x14ac:dyDescent="0.3">
      <c r="A101" t="s">
        <v>28</v>
      </c>
      <c r="B101" s="1" t="str">
        <f t="shared" si="2"/>
        <v>2025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 t="s">
        <v>25</v>
      </c>
      <c r="N101" t="s">
        <v>26</v>
      </c>
      <c r="O101" t="s">
        <v>27</v>
      </c>
    </row>
    <row r="102" spans="1:15" x14ac:dyDescent="0.3">
      <c r="A102" t="s">
        <v>32</v>
      </c>
      <c r="B102" s="1" t="str">
        <f t="shared" si="2"/>
        <v>2025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 t="s">
        <v>24</v>
      </c>
      <c r="M102" t="s">
        <v>25</v>
      </c>
      <c r="N102" t="s">
        <v>26</v>
      </c>
      <c r="O102" t="s">
        <v>27</v>
      </c>
    </row>
    <row r="103" spans="1:15" x14ac:dyDescent="0.3">
      <c r="A103" t="s">
        <v>99</v>
      </c>
      <c r="B103" s="1" t="str">
        <f t="shared" si="2"/>
        <v>2025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24</v>
      </c>
      <c r="M103" t="s">
        <v>25</v>
      </c>
      <c r="N103" t="s">
        <v>26</v>
      </c>
      <c r="O103" t="s">
        <v>27</v>
      </c>
    </row>
    <row r="104" spans="1:15" x14ac:dyDescent="0.3">
      <c r="A104" t="s">
        <v>65</v>
      </c>
      <c r="B104" s="1" t="str">
        <f t="shared" si="2"/>
        <v>2025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</row>
    <row r="105" spans="1:15" x14ac:dyDescent="0.3">
      <c r="A105" t="s">
        <v>61</v>
      </c>
      <c r="B105" s="1" t="str">
        <f t="shared" si="2"/>
        <v>2025</v>
      </c>
      <c r="C105" t="s">
        <v>15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 t="s">
        <v>21</v>
      </c>
      <c r="J105" t="s">
        <v>22</v>
      </c>
      <c r="K105" t="s">
        <v>23</v>
      </c>
      <c r="L105" t="s">
        <v>24</v>
      </c>
      <c r="M105" t="s">
        <v>25</v>
      </c>
      <c r="N105" t="s">
        <v>26</v>
      </c>
      <c r="O105" t="s">
        <v>27</v>
      </c>
    </row>
    <row r="106" spans="1:15" x14ac:dyDescent="0.3">
      <c r="A106" t="s">
        <v>166</v>
      </c>
      <c r="B106" s="1" t="str">
        <f t="shared" si="2"/>
        <v>2025</v>
      </c>
      <c r="C106" t="s">
        <v>15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23</v>
      </c>
      <c r="L106" t="s">
        <v>24</v>
      </c>
      <c r="M106" t="s">
        <v>25</v>
      </c>
      <c r="N106" t="s">
        <v>26</v>
      </c>
      <c r="O106" t="s">
        <v>27</v>
      </c>
    </row>
    <row r="107" spans="1:15" x14ac:dyDescent="0.3">
      <c r="A107" t="s">
        <v>106</v>
      </c>
      <c r="B107" s="1" t="str">
        <f t="shared" si="2"/>
        <v>2025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22</v>
      </c>
      <c r="K107" t="s">
        <v>23</v>
      </c>
      <c r="L107" t="s">
        <v>24</v>
      </c>
      <c r="M107" t="s">
        <v>25</v>
      </c>
      <c r="N107" t="s">
        <v>26</v>
      </c>
      <c r="O107" t="s">
        <v>27</v>
      </c>
    </row>
    <row r="108" spans="1:15" x14ac:dyDescent="0.3">
      <c r="A108" t="s">
        <v>161</v>
      </c>
      <c r="B108" s="1" t="str">
        <f t="shared" si="2"/>
        <v>2025</v>
      </c>
      <c r="C108" t="s">
        <v>15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t="s">
        <v>25</v>
      </c>
      <c r="N108" t="s">
        <v>26</v>
      </c>
      <c r="O108" t="s">
        <v>27</v>
      </c>
    </row>
    <row r="109" spans="1:15" x14ac:dyDescent="0.3">
      <c r="A109" t="s">
        <v>125</v>
      </c>
      <c r="B109" s="1" t="str">
        <f t="shared" si="2"/>
        <v>2025</v>
      </c>
      <c r="C109" t="s">
        <v>15</v>
      </c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23</v>
      </c>
      <c r="L109" t="s">
        <v>24</v>
      </c>
      <c r="M109" t="s">
        <v>25</v>
      </c>
      <c r="N109" t="s">
        <v>26</v>
      </c>
      <c r="O109" t="s">
        <v>27</v>
      </c>
    </row>
    <row r="110" spans="1:15" x14ac:dyDescent="0.3">
      <c r="A110" t="s">
        <v>157</v>
      </c>
      <c r="B110" s="1" t="str">
        <f t="shared" si="2"/>
        <v>2026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23</v>
      </c>
      <c r="L110" t="s">
        <v>24</v>
      </c>
      <c r="M110" t="s">
        <v>25</v>
      </c>
      <c r="N110" t="s">
        <v>26</v>
      </c>
      <c r="O110" t="s">
        <v>27</v>
      </c>
    </row>
    <row r="111" spans="1:15" x14ac:dyDescent="0.3">
      <c r="A111" t="s">
        <v>167</v>
      </c>
      <c r="B111" s="1" t="str">
        <f t="shared" si="2"/>
        <v>2026</v>
      </c>
      <c r="C111" t="s">
        <v>15</v>
      </c>
      <c r="D111" t="s">
        <v>16</v>
      </c>
      <c r="E111" t="s">
        <v>17</v>
      </c>
      <c r="F111" t="s">
        <v>18</v>
      </c>
      <c r="G111" t="s">
        <v>19</v>
      </c>
      <c r="H111" t="s">
        <v>20</v>
      </c>
      <c r="I111" t="s">
        <v>21</v>
      </c>
      <c r="J111" t="s">
        <v>22</v>
      </c>
      <c r="K111" t="s">
        <v>23</v>
      </c>
      <c r="L111" t="s">
        <v>24</v>
      </c>
      <c r="M111" t="s">
        <v>25</v>
      </c>
      <c r="N111" t="s">
        <v>26</v>
      </c>
      <c r="O111" t="s">
        <v>27</v>
      </c>
    </row>
    <row r="112" spans="1:15" x14ac:dyDescent="0.3">
      <c r="A112" t="s">
        <v>59</v>
      </c>
      <c r="B112" s="1" t="str">
        <f t="shared" si="2"/>
        <v>2026</v>
      </c>
      <c r="C112" t="s">
        <v>15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 t="s">
        <v>21</v>
      </c>
      <c r="J112" t="s">
        <v>22</v>
      </c>
      <c r="K112" t="s">
        <v>23</v>
      </c>
      <c r="L112" t="s">
        <v>24</v>
      </c>
      <c r="M112" t="s">
        <v>25</v>
      </c>
      <c r="N112" t="s">
        <v>26</v>
      </c>
      <c r="O112" t="s">
        <v>27</v>
      </c>
    </row>
    <row r="113" spans="1:15" x14ac:dyDescent="0.3">
      <c r="A113" t="s">
        <v>129</v>
      </c>
      <c r="B113" s="1" t="str">
        <f t="shared" ref="B113" si="3">LEFT(A113, 4)</f>
        <v>2026</v>
      </c>
      <c r="C113" t="s">
        <v>15</v>
      </c>
      <c r="D113" t="s">
        <v>16</v>
      </c>
      <c r="E113" t="s">
        <v>17</v>
      </c>
      <c r="F113" t="s">
        <v>18</v>
      </c>
      <c r="G113" t="s">
        <v>19</v>
      </c>
      <c r="H113" t="s">
        <v>20</v>
      </c>
      <c r="I113" t="s">
        <v>21</v>
      </c>
      <c r="J113" t="s">
        <v>22</v>
      </c>
      <c r="K113" t="s">
        <v>23</v>
      </c>
      <c r="L113" t="s">
        <v>24</v>
      </c>
      <c r="M113" t="s">
        <v>25</v>
      </c>
      <c r="N113" t="s">
        <v>26</v>
      </c>
      <c r="O113" t="s">
        <v>27</v>
      </c>
    </row>
  </sheetData>
  <autoFilter ref="A1:O113" xr:uid="{00000000-0001-0000-0000-000000000000}">
    <sortState xmlns:xlrd2="http://schemas.microsoft.com/office/spreadsheetml/2017/richdata2" ref="A2:O113">
      <sortCondition ref="B2:B113"/>
      <sortCondition ref="A2:A11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4806-94D8-4845-9569-DD4561DA02F2}">
  <sheetPr filterMode="1"/>
  <dimension ref="A1:O113"/>
  <sheetViews>
    <sheetView workbookViewId="0">
      <pane xSplit="2" ySplit="2" topLeftCell="C73" activePane="bottomRight" state="frozen"/>
      <selection pane="topRight" activeCell="C1" sqref="C1"/>
      <selection pane="bottomLeft" activeCell="A3" sqref="A3"/>
      <selection pane="bottomRight" activeCell="E100" sqref="E100"/>
    </sheetView>
  </sheetViews>
  <sheetFormatPr defaultRowHeight="14.4" x14ac:dyDescent="0.3"/>
  <cols>
    <col min="1" max="1" width="27.21875" bestFit="1" customWidth="1"/>
    <col min="2" max="2" width="6.6640625" style="1" customWidth="1"/>
    <col min="3" max="3" width="20.77734375" customWidth="1"/>
    <col min="4" max="4" width="51.33203125" customWidth="1"/>
    <col min="5" max="5" width="30.44140625" customWidth="1"/>
    <col min="6" max="6" width="30.77734375" bestFit="1" customWidth="1"/>
    <col min="7" max="7" width="29.109375" customWidth="1"/>
    <col min="8" max="8" width="28.44140625" customWidth="1"/>
    <col min="9" max="9" width="36.88671875" customWidth="1"/>
    <col min="10" max="10" width="19.21875" customWidth="1"/>
    <col min="11" max="11" width="41.6640625" customWidth="1"/>
    <col min="12" max="12" width="19.77734375" customWidth="1"/>
    <col min="13" max="13" width="16.5546875" customWidth="1"/>
    <col min="14" max="14" width="20.21875" customWidth="1"/>
    <col min="15" max="15" width="23.77734375" bestFit="1" customWidth="1"/>
  </cols>
  <sheetData>
    <row r="1" spans="1:15" x14ac:dyDescent="0.3">
      <c r="A1" s="6" t="s">
        <v>0</v>
      </c>
      <c r="B1" s="7" t="s">
        <v>680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t="s">
        <v>6</v>
      </c>
      <c r="I1" t="s">
        <v>7</v>
      </c>
      <c r="J1" t="s">
        <v>8</v>
      </c>
      <c r="K1" t="s">
        <v>9</v>
      </c>
      <c r="L1" s="6" t="s">
        <v>10</v>
      </c>
      <c r="M1" s="6" t="s">
        <v>11</v>
      </c>
      <c r="N1" s="6" t="s">
        <v>12</v>
      </c>
      <c r="O1" s="6" t="s">
        <v>13</v>
      </c>
    </row>
    <row r="2" spans="1:15" hidden="1" x14ac:dyDescent="0.3">
      <c r="A2" t="s">
        <v>86</v>
      </c>
      <c r="B2" s="1">
        <v>2013</v>
      </c>
      <c r="C2" t="str">
        <f>columnnames!C2 &amp; "(" &amp; datasample!C2 &amp; ")"</f>
        <v>id(13)</v>
      </c>
      <c r="D2" t="str">
        <f>columnnames!D2 &amp; "(" &amp; datasample!D2 &amp; ")"</f>
        <v>name(Wilton Ave &amp; Diversey Pkwy)</v>
      </c>
      <c r="E2" t="str">
        <f>columnnames!E2 &amp; "(" &amp; datasample!E2 &amp; ")"</f>
        <v>latitude(41.93250008)</v>
      </c>
      <c r="F2" t="str">
        <f>columnnames!F2 &amp; "(" &amp; datasample!F2 &amp; ")"</f>
        <v>longitude(-87.65268082)</v>
      </c>
      <c r="G2" t="str">
        <f>columnnames!G2 &amp; "(" &amp; datasample!G2 &amp; ")"</f>
        <v>dpcapacity(19)</v>
      </c>
      <c r="H2" t="str">
        <f>columnnames!H2 &amp; "(" &amp; datasample!H2 &amp; ")"</f>
        <v>landmark(66)</v>
      </c>
      <c r="I2" t="str">
        <f>columnnames!I2 &amp; "(" &amp; datasample!I2 &amp; ")"</f>
        <v>online date(6/28/2013)</v>
      </c>
      <c r="J2" t="str">
        <f>columnnames!J2 &amp; "(" &amp; datasample!J2 &amp; ")"</f>
        <v>()</v>
      </c>
      <c r="K2" t="str">
        <f>columnnames!K2 &amp; "(" &amp; datasample!K2 &amp; ")"</f>
        <v>()</v>
      </c>
      <c r="L2" t="str">
        <f>columnnames!L2 &amp; "(" &amp; datasample!L2 &amp; ")"</f>
        <v>()</v>
      </c>
      <c r="M2" t="str">
        <f>columnnames!M2 &amp; "(" &amp; datasample!M2 &amp; ")"</f>
        <v>()</v>
      </c>
      <c r="N2" t="str">
        <f>columnnames!N2 &amp; "(" &amp; datasample!N2 &amp; ")"</f>
        <v>()</v>
      </c>
      <c r="O2" t="str">
        <f>columnnames!O2 &amp; "(" &amp; datasample!O2 &amp; ")"</f>
        <v>()</v>
      </c>
    </row>
    <row r="3" spans="1:15" x14ac:dyDescent="0.3">
      <c r="A3" t="s">
        <v>84</v>
      </c>
      <c r="B3" s="4">
        <v>2013</v>
      </c>
      <c r="C3" t="str">
        <f>columnnames!C3 &amp; "(" &amp; datasample!C3 &amp; ")"</f>
        <v>trip_id(4275)</v>
      </c>
      <c r="D3" s="3" t="str">
        <f>columnnames!D3 &amp; "(" &amp; datasample!D3 &amp; ")"</f>
        <v>starttime(2013-06-27 14:44)</v>
      </c>
      <c r="E3" s="3" t="str">
        <f>columnnames!E3 &amp; "(" &amp; datasample!E3 &amp; ")"</f>
        <v>stoptime(2013-06-27 14:45)</v>
      </c>
      <c r="F3" t="str">
        <f>columnnames!F3 &amp; "(" &amp; datasample!F3 &amp; ")"</f>
        <v>bikeid(77)</v>
      </c>
      <c r="G3" t="str">
        <f>columnnames!G3 &amp; "(" &amp; datasample!G3 &amp; ")"</f>
        <v>tripduration(64)</v>
      </c>
      <c r="H3" t="str">
        <f>columnnames!H3 &amp; "(" &amp; datasample!H3 &amp; ")"</f>
        <v>from_station_id(32)</v>
      </c>
      <c r="I3" t="str">
        <f>columnnames!I3 &amp; "(" &amp; datasample!I3 &amp; ")"</f>
        <v>from_station_name(Racine Ave &amp; Congress Pkwy)</v>
      </c>
      <c r="J3" t="str">
        <f>columnnames!J3 &amp; "(" &amp; datasample!J3 &amp; ")"</f>
        <v>to_station_id(32)</v>
      </c>
      <c r="K3" t="str">
        <f>columnnames!K3 &amp; "(" &amp; datasample!K3 &amp; ")"</f>
        <v>to_station_name(Racine Ave &amp; Congress Pkwy)</v>
      </c>
      <c r="L3" s="2" t="str">
        <f>columnnames!L3 &amp; "(" &amp; datasample!L3 &amp; ")"</f>
        <v>usertype(Customer)</v>
      </c>
      <c r="M3" t="str">
        <f>columnnames!M3 &amp; "(" &amp; datasample!M3 &amp; ")"</f>
        <v>gender()</v>
      </c>
      <c r="N3" t="str">
        <f>columnnames!N3 &amp; "(" &amp; datasample!N3 &amp; ")"</f>
        <v>birthday()</v>
      </c>
      <c r="O3" t="str">
        <f>columnnames!O3 &amp; "(" &amp; datasample!O3 &amp; ")"</f>
        <v>()</v>
      </c>
    </row>
    <row r="4" spans="1:15" hidden="1" x14ac:dyDescent="0.3">
      <c r="A4" t="s">
        <v>139</v>
      </c>
      <c r="B4" s="1">
        <v>2014</v>
      </c>
      <c r="C4" t="str">
        <f>columnnames!C4 &amp; "(" &amp; datasample!C4 &amp; ")"</f>
        <v>id(13)</v>
      </c>
      <c r="D4" t="str">
        <f>columnnames!D4 &amp; "(" &amp; datasample!D4 &amp; ")"</f>
        <v>name(Wilton Ave &amp; Diversey Pkwy)</v>
      </c>
      <c r="E4" t="str">
        <f>columnnames!E4 &amp; "(" &amp; datasample!E4 &amp; ")"</f>
        <v>latitude(41.93250008)</v>
      </c>
      <c r="F4" t="str">
        <f>columnnames!F4 &amp; "(" &amp; datasample!F4 &amp; ")"</f>
        <v>longitude(-87.65268082)</v>
      </c>
      <c r="G4" t="str">
        <f>columnnames!G4 &amp; "(" &amp; datasample!G4 &amp; ")"</f>
        <v>dpcapacity(19)</v>
      </c>
      <c r="H4" t="str">
        <f>columnnames!H4 &amp; "(" &amp; datasample!H4 &amp; ")"</f>
        <v>dateCreated(6/22/2013 18:29)</v>
      </c>
      <c r="I4" t="str">
        <f>columnnames!I4 &amp; "(" &amp; datasample!I4 &amp; ")"</f>
        <v>()</v>
      </c>
      <c r="J4" t="str">
        <f>columnnames!J4 &amp; "(" &amp; datasample!J4 &amp; ")"</f>
        <v>()</v>
      </c>
      <c r="K4" t="str">
        <f>columnnames!K4 &amp; "(" &amp; datasample!K4 &amp; ")"</f>
        <v>()</v>
      </c>
      <c r="L4" t="str">
        <f>columnnames!L4 &amp; "(" &amp; datasample!L4 &amp; ")"</f>
        <v>()</v>
      </c>
      <c r="M4" t="str">
        <f>columnnames!M4 &amp; "(" &amp; datasample!M4 &amp; ")"</f>
        <v>()</v>
      </c>
      <c r="N4" t="str">
        <f>columnnames!N4 &amp; "(" &amp; datasample!N4 &amp; ")"</f>
        <v>()</v>
      </c>
      <c r="O4" t="str">
        <f>columnnames!O4 &amp; "(" &amp; datasample!O4 &amp; ")"</f>
        <v>()</v>
      </c>
    </row>
    <row r="5" spans="1:15" x14ac:dyDescent="0.3">
      <c r="A5" t="s">
        <v>158</v>
      </c>
      <c r="B5" s="4">
        <v>2014</v>
      </c>
      <c r="C5" t="str">
        <f>columnnames!C5 &amp; "(" &amp; datasample!C5 &amp; ")"</f>
        <v>trip_id(2355133)</v>
      </c>
      <c r="D5" s="3" t="str">
        <f>columnnames!D5 &amp; "(" &amp; datasample!D5 &amp; ")"</f>
        <v>starttime(6/30/2014 23:56)</v>
      </c>
      <c r="E5" s="3" t="str">
        <f>columnnames!E5 &amp; "(" &amp; datasample!E5 &amp; ")"</f>
        <v>stoptime(7/1/2014 0:00)</v>
      </c>
      <c r="F5" t="str">
        <f>columnnames!F5 &amp; "(" &amp; datasample!F5 &amp; ")"</f>
        <v>bikeid(2217)</v>
      </c>
      <c r="G5" t="str">
        <f>columnnames!G5 &amp; "(" &amp; datasample!G5 &amp; ")"</f>
        <v>tripduration(263)</v>
      </c>
      <c r="H5" t="str">
        <f>columnnames!H5 &amp; "(" &amp; datasample!H5 &amp; ")"</f>
        <v>from_station_id(282)</v>
      </c>
      <c r="I5" t="str">
        <f>columnnames!I5 &amp; "(" &amp; datasample!I5 &amp; ")"</f>
        <v>from_station_name(Halsted St &amp; Maxwell St)</v>
      </c>
      <c r="J5" t="str">
        <f>columnnames!J5 &amp; "(" &amp; datasample!J5 &amp; ")"</f>
        <v>to_station_id(22)</v>
      </c>
      <c r="K5" t="str">
        <f>columnnames!K5 &amp; "(" &amp; datasample!K5 &amp; ")"</f>
        <v>to_station_name(May St &amp; Taylor St)</v>
      </c>
      <c r="L5" s="2" t="str">
        <f>columnnames!L5 &amp; "(" &amp; datasample!L5 &amp; ")"</f>
        <v>usertype(Subscriber)</v>
      </c>
      <c r="M5" t="str">
        <f>columnnames!M5 &amp; "(" &amp; datasample!M5 &amp; ")"</f>
        <v>gender(Male)</v>
      </c>
      <c r="N5" t="str">
        <f>columnnames!N5 &amp; "(" &amp; datasample!N5 &amp; ")"</f>
        <v>birthyear(1992)</v>
      </c>
      <c r="O5" t="str">
        <f>columnnames!O5 &amp; "(" &amp; datasample!O5 &amp; ")"</f>
        <v>()</v>
      </c>
    </row>
    <row r="6" spans="1:15" x14ac:dyDescent="0.3">
      <c r="A6" t="s">
        <v>138</v>
      </c>
      <c r="B6" s="4">
        <v>2014</v>
      </c>
      <c r="C6" t="str">
        <f>columnnames!C6 &amp; "(" &amp; datasample!C6 &amp; ")"</f>
        <v>trip_id(2886258)</v>
      </c>
      <c r="D6" s="3" t="str">
        <f>columnnames!D6 &amp; "(" &amp; datasample!D6 &amp; ")"</f>
        <v>starttime(7/31/2014 23:58)</v>
      </c>
      <c r="E6" s="3" t="str">
        <f>columnnames!E6 &amp; "(" &amp; datasample!E6 &amp; ")"</f>
        <v>stoptime(8/1/2014 0:07)</v>
      </c>
      <c r="F6" t="str">
        <f>columnnames!F6 &amp; "(" &amp; datasample!F6 &amp; ")"</f>
        <v>bikeid(2403)</v>
      </c>
      <c r="G6" t="str">
        <f>columnnames!G6 &amp; "(" &amp; datasample!G6 &amp; ")"</f>
        <v>tripduration(495)</v>
      </c>
      <c r="H6" t="str">
        <f>columnnames!H6 &amp; "(" &amp; datasample!H6 &amp; ")"</f>
        <v>from_station_id(98)</v>
      </c>
      <c r="I6" t="str">
        <f>columnnames!I6 &amp; "(" &amp; datasample!I6 &amp; ")"</f>
        <v>from_station_name(LaSalle St &amp; Washington St)</v>
      </c>
      <c r="J6" t="str">
        <f>columnnames!J6 &amp; "(" &amp; datasample!J6 &amp; ")"</f>
        <v>to_station_id(106)</v>
      </c>
      <c r="K6" t="str">
        <f>columnnames!K6 &amp; "(" &amp; datasample!K6 &amp; ")"</f>
        <v>to_station_name(State St &amp; Pearson St)</v>
      </c>
      <c r="L6" s="2" t="str">
        <f>columnnames!L6 &amp; "(" &amp; datasample!L6 &amp; ")"</f>
        <v>usertype(Subscriber)</v>
      </c>
      <c r="M6" t="str">
        <f>columnnames!M6 &amp; "(" &amp; datasample!M6 &amp; ")"</f>
        <v>gender(Male)</v>
      </c>
      <c r="N6" t="str">
        <f>columnnames!N6 &amp; "(" &amp; datasample!N6 &amp; ")"</f>
        <v>birthyear(1974)</v>
      </c>
      <c r="O6" t="str">
        <f>columnnames!O6 &amp; "(" &amp; datasample!O6 &amp; ")"</f>
        <v>()</v>
      </c>
    </row>
    <row r="7" spans="1:15" x14ac:dyDescent="0.3">
      <c r="A7" t="s">
        <v>136</v>
      </c>
      <c r="B7" s="4">
        <v>2014</v>
      </c>
      <c r="C7" t="str">
        <f>columnnames!C7 &amp; "(" &amp; datasample!C7 &amp; ")"</f>
        <v>trip_id(3810749)</v>
      </c>
      <c r="D7" s="3" t="str">
        <f>columnnames!D7 &amp; "(" &amp; datasample!D7 &amp; ")"</f>
        <v>starttime(9/30/2014 23:59)</v>
      </c>
      <c r="E7" s="3" t="str">
        <f>columnnames!E7 &amp; "(" &amp; datasample!E7 &amp; ")"</f>
        <v>stoptime(10/1/2014 0:01)</v>
      </c>
      <c r="F7" t="str">
        <f>columnnames!F7 &amp; "(" &amp; datasample!F7 &amp; ")"</f>
        <v>bikeid(989)</v>
      </c>
      <c r="G7" t="str">
        <f>columnnames!G7 &amp; "(" &amp; datasample!G7 &amp; ")"</f>
        <v>tripduration(142)</v>
      </c>
      <c r="H7" t="str">
        <f>columnnames!H7 &amp; "(" &amp; datasample!H7 &amp; ")"</f>
        <v>from_station_id(277)</v>
      </c>
      <c r="I7" t="str">
        <f>columnnames!I7 &amp; "(" &amp; datasample!I7 &amp; ")"</f>
        <v>from_station_name(Ashland Ave &amp; Grand Ave)</v>
      </c>
      <c r="J7" t="str">
        <f>columnnames!J7 &amp; "(" &amp; datasample!J7 &amp; ")"</f>
        <v>to_station_id(285)</v>
      </c>
      <c r="K7" t="str">
        <f>columnnames!K7 &amp; "(" &amp; datasample!K7 &amp; ")"</f>
        <v>to_station_name(Wood St &amp; Grand Ave)</v>
      </c>
      <c r="L7" s="2" t="str">
        <f>columnnames!L7 &amp; "(" &amp; datasample!L7 &amp; ")"</f>
        <v>usertype(Subscriber)</v>
      </c>
      <c r="M7" t="str">
        <f>columnnames!M7 &amp; "(" &amp; datasample!M7 &amp; ")"</f>
        <v>gender(Male)</v>
      </c>
      <c r="N7" t="str">
        <f>columnnames!N7 &amp; "(" &amp; datasample!N7 &amp; ")"</f>
        <v>birthyear(1983)</v>
      </c>
      <c r="O7" t="str">
        <f>columnnames!O7 &amp; "(" &amp; datasample!O7 &amp; ")"</f>
        <v>()</v>
      </c>
    </row>
    <row r="8" spans="1:15" x14ac:dyDescent="0.3">
      <c r="A8" t="s">
        <v>137</v>
      </c>
      <c r="B8" s="4">
        <v>2014</v>
      </c>
      <c r="C8" t="str">
        <f>columnnames!C8 &amp; "(" &amp; datasample!C8 &amp; ")"</f>
        <v>trip_id(4413166)</v>
      </c>
      <c r="D8" s="3" t="str">
        <f>columnnames!D8 &amp; "(" &amp; datasample!D8 &amp; ")"</f>
        <v>starttime(12/31/2014 23:50)</v>
      </c>
      <c r="E8" s="3" t="str">
        <f>columnnames!E8 &amp; "(" &amp; datasample!E8 &amp; ")"</f>
        <v>stoptime(12/31/2014 23:52)</v>
      </c>
      <c r="F8" t="str">
        <f>columnnames!F8 &amp; "(" &amp; datasample!F8 &amp; ")"</f>
        <v>bikeid(1153)</v>
      </c>
      <c r="G8" t="str">
        <f>columnnames!G8 &amp; "(" &amp; datasample!G8 &amp; ")"</f>
        <v>tripduration(161)</v>
      </c>
      <c r="H8" t="str">
        <f>columnnames!H8 &amp; "(" &amp; datasample!H8 &amp; ")"</f>
        <v>from_station_id(264)</v>
      </c>
      <c r="I8" t="str">
        <f>columnnames!I8 &amp; "(" &amp; datasample!I8 &amp; ")"</f>
        <v>from_station_name(Stetson Ave &amp; South Water St)</v>
      </c>
      <c r="J8" t="str">
        <f>columnnames!J8 &amp; "(" &amp; datasample!J8 &amp; ")"</f>
        <v>to_station_id(44)</v>
      </c>
      <c r="K8" t="str">
        <f>columnnames!K8 &amp; "(" &amp; datasample!K8 &amp; ")"</f>
        <v>to_station_name(State St &amp; Randolph St)</v>
      </c>
      <c r="L8" s="2" t="str">
        <f>columnnames!L8 &amp; "(" &amp; datasample!L8 &amp; ")"</f>
        <v>usertype(Subscriber)</v>
      </c>
      <c r="M8" t="str">
        <f>columnnames!M8 &amp; "(" &amp; datasample!M8 &amp; ")"</f>
        <v>gender(Male)</v>
      </c>
      <c r="N8" t="str">
        <f>columnnames!N8 &amp; "(" &amp; datasample!N8 &amp; ")"</f>
        <v>birthyear(1984)</v>
      </c>
      <c r="O8" t="str">
        <f>columnnames!O8 &amp; "(" &amp; datasample!O8 &amp; ")"</f>
        <v>()</v>
      </c>
    </row>
    <row r="9" spans="1:15" hidden="1" x14ac:dyDescent="0.3">
      <c r="A9" t="s">
        <v>126</v>
      </c>
      <c r="B9" s="1">
        <v>2015</v>
      </c>
      <c r="C9" t="str">
        <f>columnnames!C9 &amp; "(" &amp; datasample!C9 &amp; ")"</f>
        <v>id(3)</v>
      </c>
      <c r="D9" t="str">
        <f>columnnames!D9 &amp; "(" &amp; datasample!D9 &amp; ")"</f>
        <v>name(Shedd Aquarium)</v>
      </c>
      <c r="E9" t="str">
        <f>columnnames!E9 &amp; "(" &amp; datasample!E9 &amp; ")"</f>
        <v>latitude(41.86722596)</v>
      </c>
      <c r="F9" t="str">
        <f>columnnames!F9 &amp; "(" &amp; datasample!F9 &amp; ")"</f>
        <v>longitude(-87.61535539)</v>
      </c>
      <c r="G9" t="str">
        <f>columnnames!G9 &amp; "(" &amp; datasample!G9 &amp; ")"</f>
        <v>dpcapacity(31)</v>
      </c>
      <c r="H9" t="str">
        <f>columnnames!H9 &amp; "(" &amp; datasample!H9 &amp; ")"</f>
        <v>landmark(544)</v>
      </c>
      <c r="I9" t="str">
        <f>columnnames!I9 &amp; "(" &amp; datasample!I9 &amp; ")"</f>
        <v>()</v>
      </c>
      <c r="J9" t="str">
        <f>columnnames!J9 &amp; "(" &amp; datasample!J9 &amp; ")"</f>
        <v>()</v>
      </c>
      <c r="K9" t="str">
        <f>columnnames!K9 &amp; "(" &amp; datasample!K9 &amp; ")"</f>
        <v>()</v>
      </c>
      <c r="L9" t="str">
        <f>columnnames!L9 &amp; "(" &amp; datasample!L9 &amp; ")"</f>
        <v>()</v>
      </c>
      <c r="M9" t="str">
        <f>columnnames!M9 &amp; "(" &amp; datasample!M9 &amp; ")"</f>
        <v>()</v>
      </c>
      <c r="N9" t="str">
        <f>columnnames!N9 &amp; "(" &amp; datasample!N9 &amp; ")"</f>
        <v>()</v>
      </c>
      <c r="O9" t="str">
        <f>columnnames!O9 &amp; "(" &amp; datasample!O9 &amp; ")"</f>
        <v>()</v>
      </c>
    </row>
    <row r="10" spans="1:15" x14ac:dyDescent="0.3">
      <c r="A10" t="s">
        <v>114</v>
      </c>
      <c r="B10" s="4">
        <v>2015</v>
      </c>
      <c r="C10" t="str">
        <f>columnnames!C10 &amp; "(" &amp; datasample!C10 &amp; ")"</f>
        <v>trip_id(6611091)</v>
      </c>
      <c r="D10" s="3" t="str">
        <f>columnnames!D10 &amp; "(" &amp; datasample!D10 &amp; ")"</f>
        <v>starttime(7/31/2015 23:59)</v>
      </c>
      <c r="E10" s="3" t="str">
        <f>columnnames!E10 &amp; "(" &amp; datasample!E10 &amp; ")"</f>
        <v>stoptime(8/1/2015 0:22)</v>
      </c>
      <c r="F10" t="str">
        <f>columnnames!F10 &amp; "(" &amp; datasample!F10 &amp; ")"</f>
        <v>bikeid(3747)</v>
      </c>
      <c r="G10" t="str">
        <f>columnnames!G10 &amp; "(" &amp; datasample!G10 &amp; ")"</f>
        <v>tripduration(1378)</v>
      </c>
      <c r="H10" t="str">
        <f>columnnames!H10 &amp; "(" &amp; datasample!H10 &amp; ")"</f>
        <v>from_station_id(177)</v>
      </c>
      <c r="I10" t="str">
        <f>columnnames!I10 &amp; "(" &amp; datasample!I10 &amp; ")"</f>
        <v>from_station_name(Theater on the Lake)</v>
      </c>
      <c r="J10" t="str">
        <f>columnnames!J10 &amp; "(" &amp; datasample!J10 &amp; ")"</f>
        <v>to_station_id(312)</v>
      </c>
      <c r="K10" t="str">
        <f>columnnames!K10 &amp; "(" &amp; datasample!K10 &amp; ")"</f>
        <v>to_station_name(Clarendon Ave &amp; Gordon Ter)</v>
      </c>
      <c r="L10" s="2" t="str">
        <f>columnnames!L10 &amp; "(" &amp; datasample!L10 &amp; ")"</f>
        <v>usertype(Subscriber)</v>
      </c>
      <c r="M10" t="str">
        <f>columnnames!M10 &amp; "(" &amp; datasample!M10 &amp; ")"</f>
        <v>gender(Male)</v>
      </c>
      <c r="N10" t="str">
        <f>columnnames!N10 &amp; "(" &amp; datasample!N10 &amp; ")"</f>
        <v>birthyear(1980)</v>
      </c>
      <c r="O10" t="str">
        <f>columnnames!O10 &amp; "(" &amp; datasample!O10 &amp; ")"</f>
        <v>()</v>
      </c>
    </row>
    <row r="11" spans="1:15" x14ac:dyDescent="0.3">
      <c r="A11" t="s">
        <v>115</v>
      </c>
      <c r="B11" s="4">
        <v>2015</v>
      </c>
      <c r="C11" t="str">
        <f>columnnames!C11 &amp; "(" &amp; datasample!C11 &amp; ")"</f>
        <v>trip_id(7221406)</v>
      </c>
      <c r="D11" s="3" t="str">
        <f>columnnames!D11 &amp; "(" &amp; datasample!D11 &amp; ")"</f>
        <v>starttime(8/31/2015 23:58)</v>
      </c>
      <c r="E11" s="3" t="str">
        <f>columnnames!E11 &amp; "(" &amp; datasample!E11 &amp; ")"</f>
        <v>stoptime(9/1/2015 0:26)</v>
      </c>
      <c r="F11" t="str">
        <f>columnnames!F11 &amp; "(" &amp; datasample!F11 &amp; ")"</f>
        <v>bikeid(431)</v>
      </c>
      <c r="G11" t="str">
        <f>columnnames!G11 &amp; "(" &amp; datasample!G11 &amp; ")"</f>
        <v>tripduration(1676)</v>
      </c>
      <c r="H11" t="str">
        <f>columnnames!H11 &amp; "(" &amp; datasample!H11 &amp; ")"</f>
        <v>from_station_id(511)</v>
      </c>
      <c r="I11" t="str">
        <f>columnnames!I11 &amp; "(" &amp; datasample!I11 &amp; ")"</f>
        <v>from_station_name(Albany Ave &amp; Bloomingdale Ave)</v>
      </c>
      <c r="J11" t="str">
        <f>columnnames!J11 &amp; "(" &amp; datasample!J11 &amp; ")"</f>
        <v>to_station_id(58)</v>
      </c>
      <c r="K11" t="str">
        <f>columnnames!K11 &amp; "(" &amp; datasample!K11 &amp; ")"</f>
        <v>to_station_name(Marshfield Ave &amp; Cortland St)</v>
      </c>
      <c r="L11" s="2" t="str">
        <f>columnnames!L11 &amp; "(" &amp; datasample!L11 &amp; ")"</f>
        <v>usertype(Customer)</v>
      </c>
      <c r="M11" t="str">
        <f>columnnames!M11 &amp; "(" &amp; datasample!M11 &amp; ")"</f>
        <v>gender()</v>
      </c>
      <c r="N11" t="str">
        <f>columnnames!N11 &amp; "(" &amp; datasample!N11 &amp; ")"</f>
        <v>birthyear()</v>
      </c>
      <c r="O11" t="str">
        <f>columnnames!O11 &amp; "(" &amp; datasample!O11 &amp; ")"</f>
        <v>()</v>
      </c>
    </row>
    <row r="12" spans="1:15" x14ac:dyDescent="0.3">
      <c r="A12" t="s">
        <v>113</v>
      </c>
      <c r="B12" s="4">
        <v>2015</v>
      </c>
      <c r="C12" t="str">
        <f>columnnames!C12 &amp; "(" &amp; datasample!C12 &amp; ")"</f>
        <v>trip_id(7745069)</v>
      </c>
      <c r="D12" s="3" t="str">
        <f>columnnames!D12 &amp; "(" &amp; datasample!D12 &amp; ")"</f>
        <v>starttime(9/30/2015 23:59)</v>
      </c>
      <c r="E12" s="3" t="str">
        <f>columnnames!E12 &amp; "(" &amp; datasample!E12 &amp; ")"</f>
        <v>stoptime(10/1/2015 0:07)</v>
      </c>
      <c r="F12" t="str">
        <f>columnnames!F12 &amp; "(" &amp; datasample!F12 &amp; ")"</f>
        <v>bikeid(1414)</v>
      </c>
      <c r="G12" t="str">
        <f>columnnames!G12 &amp; "(" &amp; datasample!G12 &amp; ")"</f>
        <v>tripduration(476)</v>
      </c>
      <c r="H12" t="str">
        <f>columnnames!H12 &amp; "(" &amp; datasample!H12 &amp; ")"</f>
        <v>from_station_id(229)</v>
      </c>
      <c r="I12" t="str">
        <f>columnnames!I12 &amp; "(" &amp; datasample!I12 &amp; ")"</f>
        <v>from_station_name(Southport Ave &amp; Roscoe St)</v>
      </c>
      <c r="J12" t="str">
        <f>columnnames!J12 &amp; "(" &amp; datasample!J12 &amp; ")"</f>
        <v>to_station_id(165)</v>
      </c>
      <c r="K12" t="str">
        <f>columnnames!K12 &amp; "(" &amp; datasample!K12 &amp; ")"</f>
        <v>to_station_name(Clark St &amp; Grace St)</v>
      </c>
      <c r="L12" s="2" t="str">
        <f>columnnames!L12 &amp; "(" &amp; datasample!L12 &amp; ")"</f>
        <v>usertype(Subscriber)</v>
      </c>
      <c r="M12" t="str">
        <f>columnnames!M12 &amp; "(" &amp; datasample!M12 &amp; ")"</f>
        <v>gender(Female)</v>
      </c>
      <c r="N12" t="str">
        <f>columnnames!N12 &amp; "(" &amp; datasample!N12 &amp; ")"</f>
        <v>birthyear(1983)</v>
      </c>
      <c r="O12" t="str">
        <f>columnnames!O12 &amp; "(" &amp; datasample!O12 &amp; ")"</f>
        <v>()</v>
      </c>
    </row>
    <row r="13" spans="1:15" x14ac:dyDescent="0.3">
      <c r="A13" t="s">
        <v>116</v>
      </c>
      <c r="B13" s="4">
        <v>2015</v>
      </c>
      <c r="C13" t="str">
        <f>columnnames!C13 &amp; "(" &amp; datasample!C13 &amp; ")"</f>
        <v>trip_id(8547209)</v>
      </c>
      <c r="D13" s="3" t="str">
        <f>columnnames!D13 &amp; "(" &amp; datasample!D13 &amp; ")"</f>
        <v>starttime(12/31/2015 23:47)</v>
      </c>
      <c r="E13" s="3" t="str">
        <f>columnnames!E13 &amp; "(" &amp; datasample!E13 &amp; ")"</f>
        <v>stoptime(12/31/2015 23:53)</v>
      </c>
      <c r="F13" t="str">
        <f>columnnames!F13 &amp; "(" &amp; datasample!F13 &amp; ")"</f>
        <v>bikeid(3866)</v>
      </c>
      <c r="G13" t="str">
        <f>columnnames!G13 &amp; "(" &amp; datasample!G13 &amp; ")"</f>
        <v>tripduration(334)</v>
      </c>
      <c r="H13" t="str">
        <f>columnnames!H13 &amp; "(" &amp; datasample!H13 &amp; ")"</f>
        <v>from_station_id(299)</v>
      </c>
      <c r="I13" t="str">
        <f>columnnames!I13 &amp; "(" &amp; datasample!I13 &amp; ")"</f>
        <v>from_station_name(Halsted St &amp; Roscoe St)</v>
      </c>
      <c r="J13" t="str">
        <f>columnnames!J13 &amp; "(" &amp; datasample!J13 &amp; ")"</f>
        <v>to_station_id(117)</v>
      </c>
      <c r="K13" t="str">
        <f>columnnames!K13 &amp; "(" &amp; datasample!K13 &amp; ")"</f>
        <v>to_station_name(Wilton Ave &amp; Belmont Ave)</v>
      </c>
      <c r="L13" s="2" t="str">
        <f>columnnames!L13 &amp; "(" &amp; datasample!L13 &amp; ")"</f>
        <v>usertype(Subscriber)</v>
      </c>
      <c r="M13" t="str">
        <f>columnnames!M13 &amp; "(" &amp; datasample!M13 &amp; ")"</f>
        <v>gender(Female)</v>
      </c>
      <c r="N13" t="str">
        <f>columnnames!N13 &amp; "(" &amp; datasample!N13 &amp; ")"</f>
        <v>birthyear(1991)</v>
      </c>
      <c r="O13" t="str">
        <f>columnnames!O13 &amp; "(" &amp; datasample!O13 &amp; ")"</f>
        <v>()</v>
      </c>
    </row>
    <row r="14" spans="1:15" x14ac:dyDescent="0.3">
      <c r="A14" t="s">
        <v>128</v>
      </c>
      <c r="B14" s="4">
        <v>2015</v>
      </c>
      <c r="C14" t="str">
        <f>columnnames!C14 &amp; "(" &amp; datasample!C14 &amp; ")"</f>
        <v>trip_id(4738450)</v>
      </c>
      <c r="D14" s="3" t="str">
        <f>columnnames!D14 &amp; "(" &amp; datasample!D14 &amp; ")"</f>
        <v>starttime(3/31/2015 23:59)</v>
      </c>
      <c r="E14" s="3" t="str">
        <f>columnnames!E14 &amp; "(" &amp; datasample!E14 &amp; ")"</f>
        <v>stoptime(4/1/2015 0:15)</v>
      </c>
      <c r="F14" t="str">
        <f>columnnames!F14 &amp; "(" &amp; datasample!F14 &amp; ")"</f>
        <v>bikeid(537)</v>
      </c>
      <c r="G14" t="str">
        <f>columnnames!G14 &amp; "(" &amp; datasample!G14 &amp; ")"</f>
        <v>tripduration(940)</v>
      </c>
      <c r="H14" t="str">
        <f>columnnames!H14 &amp; "(" &amp; datasample!H14 &amp; ")"</f>
        <v>from_station_id(43)</v>
      </c>
      <c r="I14" t="str">
        <f>columnnames!I14 &amp; "(" &amp; datasample!I14 &amp; ")"</f>
        <v>from_station_name(Michigan Ave &amp; Washington St)</v>
      </c>
      <c r="J14" t="str">
        <f>columnnames!J14 &amp; "(" &amp; datasample!J14 &amp; ")"</f>
        <v>to_station_id(85)</v>
      </c>
      <c r="K14" t="str">
        <f>columnnames!K14 &amp; "(" &amp; datasample!K14 &amp; ")"</f>
        <v>to_station_name(Michigan Ave &amp; Oak St)</v>
      </c>
      <c r="L14" s="2" t="str">
        <f>columnnames!L14 &amp; "(" &amp; datasample!L14 &amp; ")"</f>
        <v>usertype(Customer)</v>
      </c>
      <c r="M14" t="str">
        <f>columnnames!M14 &amp; "(" &amp; datasample!M14 &amp; ")"</f>
        <v>gender()</v>
      </c>
      <c r="N14" t="str">
        <f>columnnames!N14 &amp; "(" &amp; datasample!N14 &amp; ")"</f>
        <v>birthyear()</v>
      </c>
      <c r="O14" t="str">
        <f>columnnames!O14 &amp; "(" &amp; datasample!O14 &amp; ")"</f>
        <v>()</v>
      </c>
    </row>
    <row r="15" spans="1:15" x14ac:dyDescent="0.3">
      <c r="A15" t="s">
        <v>127</v>
      </c>
      <c r="B15" s="4">
        <v>2015</v>
      </c>
      <c r="C15" t="str">
        <f>columnnames!C15 &amp; "(" &amp; datasample!C15 &amp; ")"</f>
        <v>trip_id(5943499)</v>
      </c>
      <c r="D15" s="3" t="str">
        <f>columnnames!D15 &amp; "(" &amp; datasample!D15 &amp; ")"</f>
        <v>starttime(6/30/2015 23:59)</v>
      </c>
      <c r="E15" s="3" t="str">
        <f>columnnames!E15 &amp; "(" &amp; datasample!E15 &amp; ")"</f>
        <v>stoptime(7/1/2015 0:23)</v>
      </c>
      <c r="F15" t="str">
        <f>columnnames!F15 &amp; "(" &amp; datasample!F15 &amp; ")"</f>
        <v>bikeid(4209)</v>
      </c>
      <c r="G15" t="str">
        <f>columnnames!G15 &amp; "(" &amp; datasample!G15 &amp; ")"</f>
        <v>tripduration(1428)</v>
      </c>
      <c r="H15" t="str">
        <f>columnnames!H15 &amp; "(" &amp; datasample!H15 &amp; ")"</f>
        <v>from_station_id(490)</v>
      </c>
      <c r="I15" t="str">
        <f>columnnames!I15 &amp; "(" &amp; datasample!I15 &amp; ")"</f>
        <v>from_station_name(Troy St &amp; Elston Ave)</v>
      </c>
      <c r="J15" t="str">
        <f>columnnames!J15 &amp; "(" &amp; datasample!J15 &amp; ")"</f>
        <v>to_station_id(227)</v>
      </c>
      <c r="K15" t="str">
        <f>columnnames!K15 &amp; "(" &amp; datasample!K15 &amp; ")"</f>
        <v>to_station_name(Southport Ave &amp; Waveland Ave)</v>
      </c>
      <c r="L15" s="2" t="str">
        <f>columnnames!L15 &amp; "(" &amp; datasample!L15 &amp; ")"</f>
        <v>usertype(Customer)</v>
      </c>
      <c r="M15" t="str">
        <f>columnnames!M15 &amp; "(" &amp; datasample!M15 &amp; ")"</f>
        <v>gender()</v>
      </c>
      <c r="N15" t="str">
        <f>columnnames!N15 &amp; "(" &amp; datasample!N15 &amp; ")"</f>
        <v>birthyear()</v>
      </c>
      <c r="O15" t="str">
        <f>columnnames!O15 &amp; "(" &amp; datasample!O15 &amp; ")"</f>
        <v>()</v>
      </c>
    </row>
    <row r="16" spans="1:15" hidden="1" x14ac:dyDescent="0.3">
      <c r="A16" t="s">
        <v>145</v>
      </c>
      <c r="B16" s="1">
        <v>2016</v>
      </c>
      <c r="C16" t="str">
        <f>columnnames!C16 &amp; "(" &amp; datasample!C16 &amp; ")"</f>
        <v>id(101)</v>
      </c>
      <c r="D16" t="str">
        <f>columnnames!D16 &amp; "(" &amp; datasample!D16 &amp; ")"</f>
        <v>name(63rd St Beach)</v>
      </c>
      <c r="E16" t="str">
        <f>columnnames!E16 &amp; "(" &amp; datasample!E16 &amp; ")"</f>
        <v>latitude(41.781016)</v>
      </c>
      <c r="F16" t="str">
        <f>columnnames!F16 &amp; "(" &amp; datasample!F16 &amp; ")"</f>
        <v>longitude(-87.57612)</v>
      </c>
      <c r="G16" t="str">
        <f>columnnames!G16 &amp; "(" &amp; datasample!G16 &amp; ")"</f>
        <v>dpcapacity(23)</v>
      </c>
      <c r="H16" t="str">
        <f>columnnames!H16 &amp; "(" &amp; datasample!H16 &amp; ")"</f>
        <v>online_date(4/20/2015)</v>
      </c>
      <c r="I16" t="str">
        <f>columnnames!I16 &amp; "(" &amp; datasample!I16 &amp; ")"</f>
        <v>()</v>
      </c>
      <c r="J16" t="str">
        <f>columnnames!J16 &amp; "(" &amp; datasample!J16 &amp; ")"</f>
        <v>()</v>
      </c>
      <c r="K16" t="str">
        <f>columnnames!K16 &amp; "(" &amp; datasample!K16 &amp; ")"</f>
        <v>()</v>
      </c>
      <c r="L16" t="str">
        <f>columnnames!L16 &amp; "(" &amp; datasample!L16 &amp; ")"</f>
        <v>()</v>
      </c>
      <c r="M16" t="str">
        <f>columnnames!M16 &amp; "(" &amp; datasample!M16 &amp; ")"</f>
        <v>()</v>
      </c>
      <c r="N16" t="str">
        <f>columnnames!N16 &amp; "(" &amp; datasample!N16 &amp; ")"</f>
        <v>()</v>
      </c>
      <c r="O16" t="str">
        <f>columnnames!O16 &amp; "(" &amp; datasample!O16 &amp; ")"</f>
        <v>()</v>
      </c>
    </row>
    <row r="17" spans="1:15" hidden="1" x14ac:dyDescent="0.3">
      <c r="A17" t="s">
        <v>41</v>
      </c>
      <c r="B17" s="1">
        <v>2016</v>
      </c>
      <c r="C17" t="str">
        <f>columnnames!C17 &amp; "(" &amp; datasample!C17 &amp; ")"</f>
        <v>id(101)</v>
      </c>
      <c r="D17" t="str">
        <f>columnnames!D17 &amp; "(" &amp; datasample!D17 &amp; ")"</f>
        <v>name(63rd St Beach)</v>
      </c>
      <c r="E17" t="str">
        <f>columnnames!E17 &amp; "(" &amp; datasample!E17 &amp; ")"</f>
        <v>latitude(41.78101637)</v>
      </c>
      <c r="F17" t="str">
        <f>columnnames!F17 &amp; "(" &amp; datasample!F17 &amp; ")"</f>
        <v>longitude(-87.57611976)</v>
      </c>
      <c r="G17" t="str">
        <f>columnnames!G17 &amp; "(" &amp; datasample!G17 &amp; ")"</f>
        <v>dpcapacity(23)</v>
      </c>
      <c r="H17" t="str">
        <f>columnnames!H17 &amp; "(" &amp; datasample!H17 &amp; ")"</f>
        <v>online_date(4/20/2015)</v>
      </c>
      <c r="I17" t="str">
        <f>columnnames!I17 &amp; "(" &amp; datasample!I17 &amp; ")"</f>
        <v>()</v>
      </c>
      <c r="J17" t="str">
        <f>columnnames!J17 &amp; "(" &amp; datasample!J17 &amp; ")"</f>
        <v>()</v>
      </c>
      <c r="K17" t="str">
        <f>columnnames!K17 &amp; "(" &amp; datasample!K17 &amp; ")"</f>
        <v>()</v>
      </c>
      <c r="L17" t="str">
        <f>columnnames!L17 &amp; "(" &amp; datasample!L17 &amp; ")"</f>
        <v>()</v>
      </c>
      <c r="M17" t="str">
        <f>columnnames!M17 &amp; "(" &amp; datasample!M17 &amp; ")"</f>
        <v>()</v>
      </c>
      <c r="N17" t="str">
        <f>columnnames!N17 &amp; "(" &amp; datasample!N17 &amp; ")"</f>
        <v>()</v>
      </c>
      <c r="O17" t="str">
        <f>columnnames!O17 &amp; "(" &amp; datasample!O17 &amp; ")"</f>
        <v>()</v>
      </c>
    </row>
    <row r="18" spans="1:15" hidden="1" x14ac:dyDescent="0.3">
      <c r="A18" t="s">
        <v>34</v>
      </c>
      <c r="B18" s="1">
        <v>2016</v>
      </c>
      <c r="C18" t="str">
        <f>columnnames!C18 &amp; "(" &amp; datasample!C18 &amp; ")"</f>
        <v>id(101)</v>
      </c>
      <c r="D18" t="str">
        <f>columnnames!D18 &amp; "(" &amp; datasample!D18 &amp; ")"</f>
        <v>name(63rd St Beach)</v>
      </c>
      <c r="E18" t="str">
        <f>columnnames!E18 &amp; "(" &amp; datasample!E18 &amp; ")"</f>
        <v>latitude(41.78101637)</v>
      </c>
      <c r="F18" t="str">
        <f>columnnames!F18 &amp; "(" &amp; datasample!F18 &amp; ")"</f>
        <v>longitude(-87.57611976)</v>
      </c>
      <c r="G18" t="str">
        <f>columnnames!G18 &amp; "(" &amp; datasample!G18 &amp; ")"</f>
        <v>dpcapacity(23)</v>
      </c>
      <c r="H18" t="str">
        <f>columnnames!H18 &amp; "(" &amp; datasample!H18 &amp; ")"</f>
        <v>online_date(4/20/2015)</v>
      </c>
      <c r="I18" t="str">
        <f>columnnames!I18 &amp; "(" &amp; datasample!I18 &amp; ")"</f>
        <v>()</v>
      </c>
      <c r="J18" t="str">
        <f>columnnames!J18 &amp; "(" &amp; datasample!J18 &amp; ")"</f>
        <v>()</v>
      </c>
      <c r="K18" t="str">
        <f>columnnames!K18 &amp; "(" &amp; datasample!K18 &amp; ")"</f>
        <v>()</v>
      </c>
      <c r="L18" t="str">
        <f>columnnames!L18 &amp; "(" &amp; datasample!L18 &amp; ")"</f>
        <v>()</v>
      </c>
      <c r="M18" t="str">
        <f>columnnames!M18 &amp; "(" &amp; datasample!M18 &amp; ")"</f>
        <v>()</v>
      </c>
      <c r="N18" t="str">
        <f>columnnames!N18 &amp; "(" &amp; datasample!N18 &amp; ")"</f>
        <v>()</v>
      </c>
      <c r="O18" t="str">
        <f>columnnames!O18 &amp; "(" &amp; datasample!O18 &amp; ")"</f>
        <v>()</v>
      </c>
    </row>
    <row r="19" spans="1:15" x14ac:dyDescent="0.3">
      <c r="A19" t="s">
        <v>148</v>
      </c>
      <c r="B19" s="4">
        <v>2016</v>
      </c>
      <c r="C19" t="str">
        <f>columnnames!C19 &amp; "(" &amp; datasample!C19 &amp; ")"</f>
        <v>trip_id(9379900)</v>
      </c>
      <c r="D19" s="3" t="str">
        <f>columnnames!D19 &amp; "(" &amp; datasample!D19 &amp; ")"</f>
        <v>starttime(4/30/2016 23:58)</v>
      </c>
      <c r="E19" s="3" t="str">
        <f>columnnames!E19 &amp; "(" &amp; datasample!E19 &amp; ")"</f>
        <v>stoptime(5/1/2016 0:07)</v>
      </c>
      <c r="F19" t="str">
        <f>columnnames!F19 &amp; "(" &amp; datasample!F19 &amp; ")"</f>
        <v>bikeid(3583)</v>
      </c>
      <c r="G19" t="str">
        <f>columnnames!G19 &amp; "(" &amp; datasample!G19 &amp; ")"</f>
        <v>tripduration(556)</v>
      </c>
      <c r="H19" t="str">
        <f>columnnames!H19 &amp; "(" &amp; datasample!H19 &amp; ")"</f>
        <v>from_station_id(349)</v>
      </c>
      <c r="I19" t="str">
        <f>columnnames!I19 &amp; "(" &amp; datasample!I19 &amp; ")"</f>
        <v>from_station_name(Halsted St &amp; Wrightwood Ave)</v>
      </c>
      <c r="J19" t="str">
        <f>columnnames!J19 &amp; "(" &amp; datasample!J19 &amp; ")"</f>
        <v>to_station_id(165)</v>
      </c>
      <c r="K19" t="str">
        <f>columnnames!K19 &amp; "(" &amp; datasample!K19 &amp; ")"</f>
        <v>to_station_name(Clark St &amp; Grace St)</v>
      </c>
      <c r="L19" s="2" t="str">
        <f>columnnames!L19 &amp; "(" &amp; datasample!L19 &amp; ")"</f>
        <v>usertype(Subscriber)</v>
      </c>
      <c r="M19" t="str">
        <f>columnnames!M19 &amp; "(" &amp; datasample!M19 &amp; ")"</f>
        <v>gender(Male)</v>
      </c>
      <c r="N19" t="str">
        <f>columnnames!N19 &amp; "(" &amp; datasample!N19 &amp; ")"</f>
        <v>birthyear(1991)</v>
      </c>
      <c r="O19" t="str">
        <f>columnnames!O19 &amp; "(" &amp; datasample!O19 &amp; ")"</f>
        <v>()</v>
      </c>
    </row>
    <row r="20" spans="1:15" x14ac:dyDescent="0.3">
      <c r="A20" t="s">
        <v>147</v>
      </c>
      <c r="B20" s="4">
        <v>2016</v>
      </c>
      <c r="C20" t="str">
        <f>columnnames!C20 &amp; "(" &amp; datasample!C20 &amp; ")"</f>
        <v>trip_id(9835708)</v>
      </c>
      <c r="D20" s="3" t="str">
        <f>columnnames!D20 &amp; "(" &amp; datasample!D20 &amp; ")"</f>
        <v>starttime(5/31/2016 23:57)</v>
      </c>
      <c r="E20" s="3" t="str">
        <f>columnnames!E20 &amp; "(" &amp; datasample!E20 &amp; ")"</f>
        <v>stoptime(6/1/2016 0:14)</v>
      </c>
      <c r="F20" t="str">
        <f>columnnames!F20 &amp; "(" &amp; datasample!F20 &amp; ")"</f>
        <v>bikeid(1207)</v>
      </c>
      <c r="G20" t="str">
        <f>columnnames!G20 &amp; "(" &amp; datasample!G20 &amp; ")"</f>
        <v>tripduration(1035)</v>
      </c>
      <c r="H20" t="str">
        <f>columnnames!H20 &amp; "(" &amp; datasample!H20 &amp; ")"</f>
        <v>from_station_id(22)</v>
      </c>
      <c r="I20" t="str">
        <f>columnnames!I20 &amp; "(" &amp; datasample!I20 &amp; ")"</f>
        <v>from_station_name(May St &amp; Taylor St)</v>
      </c>
      <c r="J20" t="str">
        <f>columnnames!J20 &amp; "(" &amp; datasample!J20 &amp; ")"</f>
        <v>to_station_id(282)</v>
      </c>
      <c r="K20" t="str">
        <f>columnnames!K20 &amp; "(" &amp; datasample!K20 &amp; ")"</f>
        <v>to_station_name(Halsted St &amp; Maxwell St)</v>
      </c>
      <c r="L20" s="2" t="str">
        <f>columnnames!L20 &amp; "(" &amp; datasample!L20 &amp; ")"</f>
        <v>usertype(Subscriber)</v>
      </c>
      <c r="M20" t="str">
        <f>columnnames!M20 &amp; "(" &amp; datasample!M20 &amp; ")"</f>
        <v>gender(Male)</v>
      </c>
      <c r="N20" t="str">
        <f>columnnames!N20 &amp; "(" &amp; datasample!N20 &amp; ")"</f>
        <v>birthyear(1993)</v>
      </c>
      <c r="O20" t="str">
        <f>columnnames!O20 &amp; "(" &amp; datasample!O20 &amp; ")"</f>
        <v>()</v>
      </c>
    </row>
    <row r="21" spans="1:15" x14ac:dyDescent="0.3">
      <c r="A21" t="s">
        <v>146</v>
      </c>
      <c r="B21" s="4">
        <v>2016</v>
      </c>
      <c r="C21" t="str">
        <f>columnnames!C21 &amp; "(" &amp; datasample!C21 &amp; ")"</f>
        <v>trip_id(10426656)</v>
      </c>
      <c r="D21" s="3" t="str">
        <f>columnnames!D21 &amp; "(" &amp; datasample!D21 &amp; ")"</f>
        <v>starttime(6/30/2016 23:58)</v>
      </c>
      <c r="E21" s="3" t="str">
        <f>columnnames!E21 &amp; "(" &amp; datasample!E21 &amp; ")"</f>
        <v>stoptime(7/1/2016 0:14)</v>
      </c>
      <c r="F21" t="str">
        <f>columnnames!F21 &amp; "(" &amp; datasample!F21 &amp; ")"</f>
        <v>bikeid(1858)</v>
      </c>
      <c r="G21" t="str">
        <f>columnnames!G21 &amp; "(" &amp; datasample!G21 &amp; ")"</f>
        <v>tripduration(967)</v>
      </c>
      <c r="H21" t="str">
        <f>columnnames!H21 &amp; "(" &amp; datasample!H21 &amp; ")"</f>
        <v>from_station_id(90)</v>
      </c>
      <c r="I21" t="str">
        <f>columnnames!I21 &amp; "(" &amp; datasample!I21 &amp; ")"</f>
        <v>from_station_name(Millennium Park)</v>
      </c>
      <c r="J21" t="str">
        <f>columnnames!J21 &amp; "(" &amp; datasample!J21 &amp; ")"</f>
        <v>to_station_id(90)</v>
      </c>
      <c r="K21" t="str">
        <f>columnnames!K21 &amp; "(" &amp; datasample!K21 &amp; ")"</f>
        <v>to_station_name(Millennium Park)</v>
      </c>
      <c r="L21" s="2" t="str">
        <f>columnnames!L21 &amp; "(" &amp; datasample!L21 &amp; ")"</f>
        <v>usertype(Customer)</v>
      </c>
      <c r="M21" t="str">
        <f>columnnames!M21 &amp; "(" &amp; datasample!M21 &amp; ")"</f>
        <v>gender()</v>
      </c>
      <c r="N21" t="str">
        <f>columnnames!N21 &amp; "(" &amp; datasample!N21 &amp; ")"</f>
        <v>birthyear()</v>
      </c>
      <c r="O21" t="str">
        <f>columnnames!O21 &amp; "(" &amp; datasample!O21 &amp; ")"</f>
        <v>()</v>
      </c>
    </row>
    <row r="22" spans="1:15" x14ac:dyDescent="0.3">
      <c r="A22" t="s">
        <v>144</v>
      </c>
      <c r="B22" s="4">
        <v>2016</v>
      </c>
      <c r="C22" t="str">
        <f>columnnames!C22 &amp; "(" &amp; datasample!C22 &amp; ")"</f>
        <v>trip_id(9080550)</v>
      </c>
      <c r="D22" s="3" t="str">
        <f>columnnames!D22 &amp; "(" &amp; datasample!D22 &amp; ")"</f>
        <v>starttime(3/31/2016 23:46)</v>
      </c>
      <c r="E22" s="3" t="str">
        <f>columnnames!E22 &amp; "(" &amp; datasample!E22 &amp; ")"</f>
        <v>stoptime(3/31/2016 23:57)</v>
      </c>
      <c r="F22" t="str">
        <f>columnnames!F22 &amp; "(" &amp; datasample!F22 &amp; ")"</f>
        <v>bikeid(4831)</v>
      </c>
      <c r="G22" t="str">
        <f>columnnames!G22 &amp; "(" &amp; datasample!G22 &amp; ")"</f>
        <v>tripduration(649)</v>
      </c>
      <c r="H22" t="str">
        <f>columnnames!H22 &amp; "(" &amp; datasample!H22 &amp; ")"</f>
        <v>from_station_id(128)</v>
      </c>
      <c r="I22" t="str">
        <f>columnnames!I22 &amp; "(" &amp; datasample!I22 &amp; ")"</f>
        <v>from_station_name(Damen Ave &amp; Chicago Ave)</v>
      </c>
      <c r="J22" t="str">
        <f>columnnames!J22 &amp; "(" &amp; datasample!J22 &amp; ")"</f>
        <v>to_station_id(213)</v>
      </c>
      <c r="K22" t="str">
        <f>columnnames!K22 &amp; "(" &amp; datasample!K22 &amp; ")"</f>
        <v>to_station_name(Leavitt St &amp; North Ave)</v>
      </c>
      <c r="L22" s="2" t="str">
        <f>columnnames!L22 &amp; "(" &amp; datasample!L22 &amp; ")"</f>
        <v>usertype(Subscriber)</v>
      </c>
      <c r="M22" t="str">
        <f>columnnames!M22 &amp; "(" &amp; datasample!M22 &amp; ")"</f>
        <v>gender(Male)</v>
      </c>
      <c r="N22" t="str">
        <f>columnnames!N22 &amp; "(" &amp; datasample!N22 &amp; ")"</f>
        <v>birthyear(1980)</v>
      </c>
      <c r="O22" t="str">
        <f>columnnames!O22 &amp; "(" &amp; datasample!O22 &amp; ")"</f>
        <v>()</v>
      </c>
    </row>
    <row r="23" spans="1:15" x14ac:dyDescent="0.3">
      <c r="A23" t="s">
        <v>42</v>
      </c>
      <c r="B23" s="4">
        <v>2016</v>
      </c>
      <c r="C23" t="str">
        <f>columnnames!C23 &amp; "(" &amp; datasample!C23 &amp; ")"</f>
        <v>trip_id(12150159)</v>
      </c>
      <c r="D23" s="3" t="str">
        <f>columnnames!D23 &amp; "(" &amp; datasample!D23 &amp; ")"</f>
        <v>starttime(9/30/2016 23:59:58)</v>
      </c>
      <c r="E23" s="3" t="str">
        <f>columnnames!E23 &amp; "(" &amp; datasample!E23 &amp; ")"</f>
        <v>stoptime(10/1/2016 00:04:09)</v>
      </c>
      <c r="F23" t="str">
        <f>columnnames!F23 &amp; "(" &amp; datasample!F23 &amp; ")"</f>
        <v>bikeid(2589)</v>
      </c>
      <c r="G23" t="str">
        <f>columnnames!G23 &amp; "(" &amp; datasample!G23 &amp; ")"</f>
        <v>tripduration(251)</v>
      </c>
      <c r="H23" t="str">
        <f>columnnames!H23 &amp; "(" &amp; datasample!H23 &amp; ")"</f>
        <v>from_station_id(383)</v>
      </c>
      <c r="I23" t="str">
        <f>columnnames!I23 &amp; "(" &amp; datasample!I23 &amp; ")"</f>
        <v>from_station_name(Ashland Ave &amp; Harrison St)</v>
      </c>
      <c r="J23" t="str">
        <f>columnnames!J23 &amp; "(" &amp; datasample!J23 &amp; ")"</f>
        <v>to_station_id(320)</v>
      </c>
      <c r="K23" t="str">
        <f>columnnames!K23 &amp; "(" &amp; datasample!K23 &amp; ")"</f>
        <v>to_station_name(Loomis St &amp; Lexington St)</v>
      </c>
      <c r="L23" s="2" t="str">
        <f>columnnames!L23 &amp; "(" &amp; datasample!L23 &amp; ")"</f>
        <v>usertype(Subscriber)</v>
      </c>
      <c r="M23" t="str">
        <f>columnnames!M23 &amp; "(" &amp; datasample!M23 &amp; ")"</f>
        <v>gender(Female)</v>
      </c>
      <c r="N23" t="str">
        <f>columnnames!N23 &amp; "(" &amp; datasample!N23 &amp; ")"</f>
        <v>birthyear(1990)</v>
      </c>
      <c r="O23" t="str">
        <f>columnnames!O23 &amp; "(" &amp; datasample!O23 &amp; ")"</f>
        <v>()</v>
      </c>
    </row>
    <row r="24" spans="1:15" x14ac:dyDescent="0.3">
      <c r="A24" t="s">
        <v>55</v>
      </c>
      <c r="B24" s="4">
        <v>2016</v>
      </c>
      <c r="C24" t="str">
        <f>columnnames!C24 &amp; "(" &amp; datasample!C24 &amp; ")"</f>
        <v>trip_id(12979227)</v>
      </c>
      <c r="D24" s="3" t="str">
        <f>columnnames!D24 &amp; "(" &amp; datasample!D24 &amp; ")"</f>
        <v>starttime(12/31/2016 23:53:18)</v>
      </c>
      <c r="E24" s="3" t="str">
        <f>columnnames!E24 &amp; "(" &amp; datasample!E24 &amp; ")"</f>
        <v>stoptime(1/1/2017 00:08:13)</v>
      </c>
      <c r="F24" t="str">
        <f>columnnames!F24 &amp; "(" &amp; datasample!F24 &amp; ")"</f>
        <v>bikeid(5114)</v>
      </c>
      <c r="G24" t="str">
        <f>columnnames!G24 &amp; "(" &amp; datasample!G24 &amp; ")"</f>
        <v>tripduration(895)</v>
      </c>
      <c r="H24" t="str">
        <f>columnnames!H24 &amp; "(" &amp; datasample!H24 &amp; ")"</f>
        <v>from_station_id(195)</v>
      </c>
      <c r="I24" t="str">
        <f>columnnames!I24 &amp; "(" &amp; datasample!I24 &amp; ")"</f>
        <v>from_station_name(Columbus Dr &amp; Randolph St)</v>
      </c>
      <c r="J24" t="str">
        <f>columnnames!J24 &amp; "(" &amp; datasample!J24 &amp; ")"</f>
        <v>to_station_id(25)</v>
      </c>
      <c r="K24" t="str">
        <f>columnnames!K24 &amp; "(" &amp; datasample!K24 &amp; ")"</f>
        <v>to_station_name(Michigan Ave &amp; Pearson St)</v>
      </c>
      <c r="L24" s="2" t="str">
        <f>columnnames!L24 &amp; "(" &amp; datasample!L24 &amp; ")"</f>
        <v>usertype(Customer)</v>
      </c>
      <c r="M24" t="str">
        <f>columnnames!M24 &amp; "(" &amp; datasample!M24 &amp; ")"</f>
        <v>gender()</v>
      </c>
      <c r="N24" t="str">
        <f>columnnames!N24 &amp; "(" &amp; datasample!N24 &amp; ")"</f>
        <v>birthyear()</v>
      </c>
      <c r="O24" t="str">
        <f>columnnames!O24 &amp; "(" &amp; datasample!O24 &amp; ")"</f>
        <v>()</v>
      </c>
    </row>
    <row r="25" spans="1:15" hidden="1" x14ac:dyDescent="0.3">
      <c r="A25" t="s">
        <v>120</v>
      </c>
      <c r="B25" s="1">
        <v>2017</v>
      </c>
      <c r="C25" t="str">
        <f>columnnames!C25 &amp; "(" &amp; datasample!C25 &amp; ")"</f>
        <v>id(101)</v>
      </c>
      <c r="D25" t="str">
        <f>columnnames!D25 &amp; "(" &amp; datasample!D25 &amp; ")"</f>
        <v>name(63rd St Beach)</v>
      </c>
      <c r="E25" t="str">
        <f>columnnames!E25 &amp; "(" &amp; datasample!E25 &amp; ")"</f>
        <v>city(Chicago)</v>
      </c>
      <c r="F25" t="str">
        <f>columnnames!F25 &amp; "(" &amp; datasample!F25 &amp; ")"</f>
        <v>latitude(41.78101637196)</v>
      </c>
      <c r="G25" t="str">
        <f>columnnames!G25 &amp; "(" &amp; datasample!G25 &amp; ")"</f>
        <v>longitude(-87.5761197602)</v>
      </c>
      <c r="H25" t="str">
        <f>columnnames!H25 &amp; "(" &amp; datasample!H25 &amp; ")"</f>
        <v>dpcapacity(23)</v>
      </c>
      <c r="I25" t="str">
        <f>columnnames!I25 &amp; "(" &amp; datasample!I25 &amp; ")"</f>
        <v>online_date(7/16/2013 01:27:50)</v>
      </c>
      <c r="J25" t="str">
        <f>columnnames!J25 &amp; "(" &amp; datasample!J25 &amp; ")"</f>
        <v>()</v>
      </c>
      <c r="K25" t="str">
        <f>columnnames!K25 &amp; "(" &amp; datasample!K25 &amp; ")"</f>
        <v>()</v>
      </c>
      <c r="L25" t="str">
        <f>columnnames!L25 &amp; "(" &amp; datasample!L25 &amp; ")"</f>
        <v>()</v>
      </c>
      <c r="M25" t="str">
        <f>columnnames!M25 &amp; "(" &amp; datasample!M25 &amp; ")"</f>
        <v>()</v>
      </c>
      <c r="N25" t="str">
        <f>columnnames!N25 &amp; "(" &amp; datasample!N25 &amp; ")"</f>
        <v>()</v>
      </c>
      <c r="O25" t="str">
        <f>columnnames!O25 &amp; "(" &amp; datasample!O25 &amp; ")"</f>
        <v>()</v>
      </c>
    </row>
    <row r="26" spans="1:15" hidden="1" x14ac:dyDescent="0.3">
      <c r="A26" t="s">
        <v>170</v>
      </c>
      <c r="B26" s="1">
        <v>2017</v>
      </c>
      <c r="C26" t="str">
        <f>columnnames!C26 &amp; "(" &amp; datasample!C26 &amp; ")"</f>
        <v>id(3)</v>
      </c>
      <c r="D26" t="str">
        <f>columnnames!D26 &amp; "(" &amp; datasample!D26 &amp; ")"</f>
        <v>name(Shedd Aquarium)</v>
      </c>
      <c r="E26" t="str">
        <f>columnnames!E26 &amp; "(" &amp; datasample!E26 &amp; ")"</f>
        <v>city(Chicago)</v>
      </c>
      <c r="F26" t="str">
        <f>columnnames!F26 &amp; "(" &amp; datasample!F26 &amp; ")"</f>
        <v>latitude(41.86722596)</v>
      </c>
      <c r="G26" t="str">
        <f>columnnames!G26 &amp; "(" &amp; datasample!G26 &amp; ")"</f>
        <v>longitude(-87.61535539)</v>
      </c>
      <c r="H26" t="str">
        <f>columnnames!H26 &amp; "(" &amp; datasample!H26 &amp; ")"</f>
        <v>dpcapacity(55)</v>
      </c>
      <c r="I26" t="str">
        <f>columnnames!I26 &amp; "(" &amp; datasample!I26 &amp; ")"</f>
        <v>online_date(6/10/2013 10:44)</v>
      </c>
      <c r="J26" t="str">
        <f>columnnames!J26 &amp; "(" &amp; datasample!J26 &amp; ")"</f>
        <v>Unnamed: 7()</v>
      </c>
      <c r="K26" t="str">
        <f>columnnames!K26 &amp; "(" &amp; datasample!K26 &amp; ")"</f>
        <v>()</v>
      </c>
      <c r="L26" t="str">
        <f>columnnames!L26 &amp; "(" &amp; datasample!L26 &amp; ")"</f>
        <v>()</v>
      </c>
      <c r="M26" t="str">
        <f>columnnames!M26 &amp; "(" &amp; datasample!M26 &amp; ")"</f>
        <v>()</v>
      </c>
      <c r="N26" t="str">
        <f>columnnames!N26 &amp; "(" &amp; datasample!N26 &amp; ")"</f>
        <v>()</v>
      </c>
      <c r="O26" t="str">
        <f>columnnames!O26 &amp; "(" &amp; datasample!O26 &amp; ")"</f>
        <v>()</v>
      </c>
    </row>
    <row r="27" spans="1:15" x14ac:dyDescent="0.3">
      <c r="A27" t="s">
        <v>122</v>
      </c>
      <c r="B27" s="4">
        <v>2017</v>
      </c>
      <c r="C27" t="str">
        <f>columnnames!C27 &amp; "(" &amp; datasample!C27 &amp; ")"</f>
        <v>trip_id(13518904)</v>
      </c>
      <c r="D27" s="3" t="str">
        <f>columnnames!D27 &amp; "(" &amp; datasample!D27 &amp; ")"</f>
        <v>start_time(3/31/2017 23:56:25)</v>
      </c>
      <c r="E27" s="3" t="str">
        <f>columnnames!E27 &amp; "(" &amp; datasample!E27 &amp; ")"</f>
        <v>end_time(4/1/2017 00:00:21)</v>
      </c>
      <c r="F27" t="str">
        <f>columnnames!F27 &amp; "(" &amp; datasample!F27 &amp; ")"</f>
        <v>bikeid(4408)</v>
      </c>
      <c r="G27" t="str">
        <f>columnnames!G27 &amp; "(" &amp; datasample!G27 &amp; ")"</f>
        <v>tripduration(236)</v>
      </c>
      <c r="H27" t="str">
        <f>columnnames!H27 &amp; "(" &amp; datasample!H27 &amp; ")"</f>
        <v>from_station_id(199)</v>
      </c>
      <c r="I27" t="str">
        <f>columnnames!I27 &amp; "(" &amp; datasample!I27 &amp; ")"</f>
        <v>from_station_name(Wabash Ave &amp; Grand Ave)</v>
      </c>
      <c r="J27" t="str">
        <f>columnnames!J27 &amp; "(" &amp; datasample!J27 &amp; ")"</f>
        <v>to_station_id(26)</v>
      </c>
      <c r="K27" t="str">
        <f>columnnames!K27 &amp; "(" &amp; datasample!K27 &amp; ")"</f>
        <v>to_station_name(McClurg Ct &amp; Illinois St)</v>
      </c>
      <c r="L27" s="2" t="str">
        <f>columnnames!L27 &amp; "(" &amp; datasample!L27 &amp; ")"</f>
        <v>usertype(Subscriber)</v>
      </c>
      <c r="M27" t="str">
        <f>columnnames!M27 &amp; "(" &amp; datasample!M27 &amp; ")"</f>
        <v>gender(Male)</v>
      </c>
      <c r="N27" t="str">
        <f>columnnames!N27 &amp; "(" &amp; datasample!N27 &amp; ")"</f>
        <v>birthyear(1990)</v>
      </c>
      <c r="O27" t="str">
        <f>columnnames!O27 &amp; "(" &amp; datasample!O27 &amp; ")"</f>
        <v>()</v>
      </c>
    </row>
    <row r="28" spans="1:15" x14ac:dyDescent="0.3">
      <c r="A28" t="s">
        <v>119</v>
      </c>
      <c r="B28" s="4">
        <v>2017</v>
      </c>
      <c r="C28" t="str">
        <f>columnnames!C28 &amp; "(" &amp; datasample!C28 &amp; ")"</f>
        <v>trip_id(14853212)</v>
      </c>
      <c r="D28" s="3" t="str">
        <f>columnnames!D28 &amp; "(" &amp; datasample!D28 &amp; ")"</f>
        <v>start_time(6/30/2017 23:59:28)</v>
      </c>
      <c r="E28" s="3" t="str">
        <f>columnnames!E28 &amp; "(" &amp; datasample!E28 &amp; ")"</f>
        <v>end_time(7/1/2017 00:07:10)</v>
      </c>
      <c r="F28" t="str">
        <f>columnnames!F28 &amp; "(" &amp; datasample!F28 &amp; ")"</f>
        <v>bikeid(1909)</v>
      </c>
      <c r="G28" t="str">
        <f>columnnames!G28 &amp; "(" &amp; datasample!G28 &amp; ")"</f>
        <v>tripduration(462)</v>
      </c>
      <c r="H28" t="str">
        <f>columnnames!H28 &amp; "(" &amp; datasample!H28 &amp; ")"</f>
        <v>from_station_id(165)</v>
      </c>
      <c r="I28" t="str">
        <f>columnnames!I28 &amp; "(" &amp; datasample!I28 &amp; ")"</f>
        <v>from_station_name(Clark St &amp; Grace St)</v>
      </c>
      <c r="J28" t="str">
        <f>columnnames!J28 &amp; "(" &amp; datasample!J28 &amp; ")"</f>
        <v>to_station_id(234)</v>
      </c>
      <c r="K28" t="str">
        <f>columnnames!K28 &amp; "(" &amp; datasample!K28 &amp; ")"</f>
        <v>to_station_name(Clark St &amp; Montrose Ave)</v>
      </c>
      <c r="L28" s="2" t="str">
        <f>columnnames!L28 &amp; "(" &amp; datasample!L28 &amp; ")"</f>
        <v>usertype(Subscriber)</v>
      </c>
      <c r="M28" t="str">
        <f>columnnames!M28 &amp; "(" &amp; datasample!M28 &amp; ")"</f>
        <v>gender(Female)</v>
      </c>
      <c r="N28" t="str">
        <f>columnnames!N28 &amp; "(" &amp; datasample!N28 &amp; ")"</f>
        <v>birthyear(1968)</v>
      </c>
      <c r="O28" t="str">
        <f>columnnames!O28 &amp; "(" &amp; datasample!O28 &amp; ")"</f>
        <v>()</v>
      </c>
    </row>
    <row r="29" spans="1:15" x14ac:dyDescent="0.3">
      <c r="A29" t="s">
        <v>172</v>
      </c>
      <c r="B29" s="4">
        <v>2017</v>
      </c>
      <c r="C29" t="str">
        <f>columnnames!C29 &amp; "(" &amp; datasample!C29 &amp; ")"</f>
        <v>trip_id(16734064)</v>
      </c>
      <c r="D29" s="3" t="str">
        <f>columnnames!D29 &amp; "(" &amp; datasample!D29 &amp; ")"</f>
        <v>start_time(9/30/2017 23:59:53)</v>
      </c>
      <c r="E29" s="3" t="str">
        <f>columnnames!E29 &amp; "(" &amp; datasample!E29 &amp; ")"</f>
        <v>end_time(10/1/2017 00:05:47)</v>
      </c>
      <c r="F29" t="str">
        <f>columnnames!F29 &amp; "(" &amp; datasample!F29 &amp; ")"</f>
        <v>bikeid(3048)</v>
      </c>
      <c r="G29" t="str">
        <f>columnnames!G29 &amp; "(" &amp; datasample!G29 &amp; ")"</f>
        <v>tripduration(354)</v>
      </c>
      <c r="H29" t="str">
        <f>columnnames!H29 &amp; "(" &amp; datasample!H29 &amp; ")"</f>
        <v>from_station_id(216)</v>
      </c>
      <c r="I29" t="str">
        <f>columnnames!I29 &amp; "(" &amp; datasample!I29 &amp; ")"</f>
        <v>from_station_name(California Ave &amp; Division St)</v>
      </c>
      <c r="J29" t="str">
        <f>columnnames!J29 &amp; "(" &amp; datasample!J29 &amp; ")"</f>
        <v>to_station_id(259)</v>
      </c>
      <c r="K29" t="str">
        <f>columnnames!K29 &amp; "(" &amp; datasample!K29 &amp; ")"</f>
        <v>to_station_name(California Ave &amp; Francis Pl)</v>
      </c>
      <c r="L29" s="2" t="str">
        <f>columnnames!L29 &amp; "(" &amp; datasample!L29 &amp; ")"</f>
        <v>usertype(Subscriber)</v>
      </c>
      <c r="M29" t="str">
        <f>columnnames!M29 &amp; "(" &amp; datasample!M29 &amp; ")"</f>
        <v>gender(Male)</v>
      </c>
      <c r="N29" t="str">
        <f>columnnames!N29 &amp; "(" &amp; datasample!N29 &amp; ")"</f>
        <v>birthyear(1979)</v>
      </c>
      <c r="O29" t="str">
        <f>columnnames!O29 &amp; "(" &amp; datasample!O29 &amp; ")"</f>
        <v>()</v>
      </c>
    </row>
    <row r="30" spans="1:15" x14ac:dyDescent="0.3">
      <c r="A30" t="s">
        <v>173</v>
      </c>
      <c r="B30" s="4">
        <v>2017</v>
      </c>
      <c r="C30" t="str">
        <f>columnnames!C30 &amp; "(" &amp; datasample!C30 &amp; ")"</f>
        <v>trip_id(17536700)</v>
      </c>
      <c r="D30" s="3" t="str">
        <f>columnnames!D30 &amp; "(" &amp; datasample!D30 &amp; ")"</f>
        <v>start_time(12/31/2017 23:54)</v>
      </c>
      <c r="E30" s="3" t="str">
        <f>columnnames!E30 &amp; "(" &amp; datasample!E30 &amp; ")"</f>
        <v>end_time(1/1/2018 0:18)</v>
      </c>
      <c r="F30" t="str">
        <f>columnnames!F30 &amp; "(" &amp; datasample!F30 &amp; ")"</f>
        <v>bikeid(5975)</v>
      </c>
      <c r="G30" t="str">
        <f>columnnames!G30 &amp; "(" &amp; datasample!G30 &amp; ")"</f>
        <v>tripduration(1402)</v>
      </c>
      <c r="H30" t="str">
        <f>columnnames!H30 &amp; "(" &amp; datasample!H30 &amp; ")"</f>
        <v>from_station_id(145)</v>
      </c>
      <c r="I30" t="str">
        <f>columnnames!I30 &amp; "(" &amp; datasample!I30 &amp; ")"</f>
        <v>from_station_name(Mies van der Rohe Way &amp; Chestnut St)</v>
      </c>
      <c r="J30" t="str">
        <f>columnnames!J30 &amp; "(" &amp; datasample!J30 &amp; ")"</f>
        <v>to_station_id(145)</v>
      </c>
      <c r="K30" t="str">
        <f>columnnames!K30 &amp; "(" &amp; datasample!K30 &amp; ")"</f>
        <v>to_station_name(Mies van der Rohe Way &amp; Chestnut St)</v>
      </c>
      <c r="L30" s="2" t="str">
        <f>columnnames!L30 &amp; "(" &amp; datasample!L30 &amp; ")"</f>
        <v>usertype(Customer)</v>
      </c>
      <c r="M30" t="str">
        <f>columnnames!M30 &amp; "(" &amp; datasample!M30 &amp; ")"</f>
        <v>gender()</v>
      </c>
      <c r="N30" t="str">
        <f>columnnames!N30 &amp; "(" &amp; datasample!N30 &amp; ")"</f>
        <v>birthyear()</v>
      </c>
      <c r="O30" t="str">
        <f>columnnames!O30 &amp; "(" &amp; datasample!O30 &amp; ")"</f>
        <v>()</v>
      </c>
    </row>
    <row r="31" spans="1:15" x14ac:dyDescent="0.3">
      <c r="A31" t="s">
        <v>69</v>
      </c>
      <c r="B31" s="4">
        <v>2018</v>
      </c>
      <c r="C31" t="str">
        <f>columnnames!C31 &amp; "(" &amp; datasample!C31 &amp; ")"</f>
        <v>01 - Rental Details Rental ID(17536703)</v>
      </c>
      <c r="D31" s="3" t="str">
        <f>columnnames!D31 &amp; "(" &amp; datasample!D31 &amp; ")"</f>
        <v>01 - Rental Details Local Start Time(2018-01-01 00:41:35)</v>
      </c>
      <c r="E31" s="3" t="str">
        <f>columnnames!E31 &amp; "(" &amp; datasample!E31 &amp; ")"</f>
        <v>01 - Rental Details Local End Time(2018-01-01 00:47:52)</v>
      </c>
      <c r="F31" t="str">
        <f>columnnames!F31 &amp; "(" &amp; datasample!F31 &amp; ")"</f>
        <v>01 - Rental Details Bike ID(5367)</v>
      </c>
      <c r="G31" t="str">
        <f>columnnames!G31 &amp; "(" &amp; datasample!G31 &amp; ")"</f>
        <v>01 - Rental Details Duration In Seconds Uncapped(377.0)</v>
      </c>
      <c r="H31" t="str">
        <f>columnnames!H31 &amp; "(" &amp; datasample!H31 &amp; ")"</f>
        <v>03 - Rental Start Station ID(253)</v>
      </c>
      <c r="I31" t="str">
        <f>columnnames!I31 &amp; "(" &amp; datasample!I31 &amp; ")"</f>
        <v>03 - Rental Start Station Name(Winthrop Ave &amp; Lawrence Ave)</v>
      </c>
      <c r="J31" t="str">
        <f>columnnames!J31 &amp; "(" &amp; datasample!J31 &amp; ")"</f>
        <v>02 - Rental End Station ID(325)</v>
      </c>
      <c r="K31" t="str">
        <f>columnnames!K31 &amp; "(" &amp; datasample!K31 &amp; ")"</f>
        <v>02 - Rental End Station Name(Clark St &amp; Winnemac Ave (Temp))</v>
      </c>
      <c r="L31" s="2" t="str">
        <f>columnnames!L31 &amp; "(" &amp; datasample!L31 &amp; ")"</f>
        <v>User Type(Subscriber)</v>
      </c>
      <c r="M31" t="str">
        <f>columnnames!M31 &amp; "(" &amp; datasample!M31 &amp; ")"</f>
        <v>Member Gender(Male)</v>
      </c>
      <c r="N31" t="str">
        <f>columnnames!N31 &amp; "(" &amp; datasample!N31 &amp; ")"</f>
        <v>05 - Member Details Member Birthday Year(1984)</v>
      </c>
      <c r="O31" t="str">
        <f>columnnames!O31 &amp; "(" &amp; datasample!O31 &amp; ")"</f>
        <v>()</v>
      </c>
    </row>
    <row r="32" spans="1:15" x14ac:dyDescent="0.3">
      <c r="A32" t="s">
        <v>117</v>
      </c>
      <c r="B32" s="4">
        <v>2018</v>
      </c>
      <c r="C32" t="str">
        <f>columnnames!C32 &amp; "(" &amp; datasample!C32 &amp; ")"</f>
        <v>trip_id(18000528)</v>
      </c>
      <c r="D32" s="3" t="str">
        <f>columnnames!D32 &amp; "(" &amp; datasample!D32 &amp; ")"</f>
        <v>start_time(2018-04-01 00:06:42)</v>
      </c>
      <c r="E32" s="3" t="str">
        <f>columnnames!E32 &amp; "(" &amp; datasample!E32 &amp; ")"</f>
        <v>end_time(2018-04-01 00:27:07)</v>
      </c>
      <c r="F32" t="str">
        <f>columnnames!F32 &amp; "(" &amp; datasample!F32 &amp; ")"</f>
        <v>bikeid(5000)</v>
      </c>
      <c r="G32" t="str">
        <f>columnnames!G32 &amp; "(" &amp; datasample!G32 &amp; ")"</f>
        <v>tripduration(1,225.0)</v>
      </c>
      <c r="H32" t="str">
        <f>columnnames!H32 &amp; "(" &amp; datasample!H32 &amp; ")"</f>
        <v>from_station_id(157)</v>
      </c>
      <c r="I32" t="str">
        <f>columnnames!I32 &amp; "(" &amp; datasample!I32 &amp; ")"</f>
        <v>from_station_name(Lake Shore Dr &amp; Wellington Ave)</v>
      </c>
      <c r="J32" t="str">
        <f>columnnames!J32 &amp; "(" &amp; datasample!J32 &amp; ")"</f>
        <v>to_station_id(190)</v>
      </c>
      <c r="K32" t="str">
        <f>columnnames!K32 &amp; "(" &amp; datasample!K32 &amp; ")"</f>
        <v>to_station_name(Southport Ave &amp; Wrightwood Ave)</v>
      </c>
      <c r="L32" s="2" t="str">
        <f>columnnames!L32 &amp; "(" &amp; datasample!L32 &amp; ")"</f>
        <v>usertype(Subscriber)</v>
      </c>
      <c r="M32" t="str">
        <f>columnnames!M32 &amp; "(" &amp; datasample!M32 &amp; ")"</f>
        <v>gender(Male)</v>
      </c>
      <c r="N32" t="str">
        <f>columnnames!N32 &amp; "(" &amp; datasample!N32 &amp; ")"</f>
        <v>birthyear(1965)</v>
      </c>
      <c r="O32" t="str">
        <f>columnnames!O32 &amp; "(" &amp; datasample!O32 &amp; ")"</f>
        <v>()</v>
      </c>
    </row>
    <row r="33" spans="1:15" x14ac:dyDescent="0.3">
      <c r="A33" t="s">
        <v>89</v>
      </c>
      <c r="B33" s="4">
        <v>2018</v>
      </c>
      <c r="C33" t="str">
        <f>columnnames!C33 &amp; "(" &amp; datasample!C33 &amp; ")"</f>
        <v>trip_id(19244623)</v>
      </c>
      <c r="D33" s="3" t="str">
        <f>columnnames!D33 &amp; "(" &amp; datasample!D33 &amp; ")"</f>
        <v>start_time(2018-07-01 00:00:13)</v>
      </c>
      <c r="E33" s="3" t="str">
        <f>columnnames!E33 &amp; "(" &amp; datasample!E33 &amp; ")"</f>
        <v>end_time(2018-07-01 00:06:39)</v>
      </c>
      <c r="F33" t="str">
        <f>columnnames!F33 &amp; "(" &amp; datasample!F33 &amp; ")"</f>
        <v>bikeid(93)</v>
      </c>
      <c r="G33" t="str">
        <f>columnnames!G33 &amp; "(" &amp; datasample!G33 &amp; ")"</f>
        <v>tripduration(386.0)</v>
      </c>
      <c r="H33" t="str">
        <f>columnnames!H33 &amp; "(" &amp; datasample!H33 &amp; ")"</f>
        <v>from_station_id(153)</v>
      </c>
      <c r="I33" t="str">
        <f>columnnames!I33 &amp; "(" &amp; datasample!I33 &amp; ")"</f>
        <v>from_station_name(Southport Ave &amp; Wellington Ave)</v>
      </c>
      <c r="J33" t="str">
        <f>columnnames!J33 &amp; "(" &amp; datasample!J33 &amp; ")"</f>
        <v>to_station_id(250)</v>
      </c>
      <c r="K33" t="str">
        <f>columnnames!K33 &amp; "(" &amp; datasample!K33 &amp; ")"</f>
        <v>to_station_name(Ashland Ave &amp; Wellington Ave)</v>
      </c>
      <c r="L33" s="2" t="str">
        <f>columnnames!L33 &amp; "(" &amp; datasample!L33 &amp; ")"</f>
        <v>usertype(Subscriber)</v>
      </c>
      <c r="M33" t="str">
        <f>columnnames!M33 &amp; "(" &amp; datasample!M33 &amp; ")"</f>
        <v>gender(Male)</v>
      </c>
      <c r="N33" t="str">
        <f>columnnames!N33 &amp; "(" &amp; datasample!N33 &amp; ")"</f>
        <v>birthyear(1986)</v>
      </c>
      <c r="O33" t="str">
        <f>columnnames!O33 &amp; "(" &amp; datasample!O33 &amp; ")"</f>
        <v>()</v>
      </c>
    </row>
    <row r="34" spans="1:15" x14ac:dyDescent="0.3">
      <c r="A34" t="s">
        <v>152</v>
      </c>
      <c r="B34" s="4">
        <v>2018</v>
      </c>
      <c r="C34" t="str">
        <f>columnnames!C34 &amp; "(" &amp; datasample!C34 &amp; ")"</f>
        <v>trip_id(20983531)</v>
      </c>
      <c r="D34" s="3" t="str">
        <f>columnnames!D34 &amp; "(" &amp; datasample!D34 &amp; ")"</f>
        <v>start_time(2018-10-01 00:03:59)</v>
      </c>
      <c r="E34" s="3" t="str">
        <f>columnnames!E34 &amp; "(" &amp; datasample!E34 &amp; ")"</f>
        <v>end_time(2018-10-01 00:10:55)</v>
      </c>
      <c r="F34" t="str">
        <f>columnnames!F34 &amp; "(" &amp; datasample!F34 &amp; ")"</f>
        <v>bikeid(847)</v>
      </c>
      <c r="G34" t="str">
        <f>columnnames!G34 &amp; "(" &amp; datasample!G34 &amp; ")"</f>
        <v>tripduration(416.0)</v>
      </c>
      <c r="H34" t="str">
        <f>columnnames!H34 &amp; "(" &amp; datasample!H34 &amp; ")"</f>
        <v>from_station_id(13)</v>
      </c>
      <c r="I34" t="str">
        <f>columnnames!I34 &amp; "(" &amp; datasample!I34 &amp; ")"</f>
        <v>from_station_name(Wilton Ave &amp; Diversey Pkwy)</v>
      </c>
      <c r="J34" t="str">
        <f>columnnames!J34 &amp; "(" &amp; datasample!J34 &amp; ")"</f>
        <v>to_station_id(144)</v>
      </c>
      <c r="K34" t="str">
        <f>columnnames!K34 &amp; "(" &amp; datasample!K34 &amp; ")"</f>
        <v>to_station_name(Larrabee St &amp; Webster Ave)</v>
      </c>
      <c r="L34" s="2" t="str">
        <f>columnnames!L34 &amp; "(" &amp; datasample!L34 &amp; ")"</f>
        <v>usertype(Subscriber)</v>
      </c>
      <c r="M34" t="str">
        <f>columnnames!M34 &amp; "(" &amp; datasample!M34 &amp; ")"</f>
        <v>gender(Female)</v>
      </c>
      <c r="N34" t="str">
        <f>columnnames!N34 &amp; "(" &amp; datasample!N34 &amp; ")"</f>
        <v>birthyear(1982)</v>
      </c>
      <c r="O34" t="str">
        <f>columnnames!O34 &amp; "(" &amp; datasample!O34 &amp; ")"</f>
        <v>()</v>
      </c>
    </row>
    <row r="35" spans="1:15" x14ac:dyDescent="0.3">
      <c r="A35" t="s">
        <v>168</v>
      </c>
      <c r="B35" s="4">
        <v>2019</v>
      </c>
      <c r="C35" t="str">
        <f>columnnames!C35 &amp; "(" &amp; datasample!C35 &amp; ")"</f>
        <v>trip_id(21742444)</v>
      </c>
      <c r="D35" s="3" t="str">
        <f>columnnames!D35 &amp; "(" &amp; datasample!D35 &amp; ")"</f>
        <v>start_time(2019-01-01 00:08:13)</v>
      </c>
      <c r="E35" s="3" t="str">
        <f>columnnames!E35 &amp; "(" &amp; datasample!E35 &amp; ")"</f>
        <v>end_time(2019-01-01 00:15:34)</v>
      </c>
      <c r="F35" t="str">
        <f>columnnames!F35 &amp; "(" &amp; datasample!F35 &amp; ")"</f>
        <v>bikeid(4386)</v>
      </c>
      <c r="G35" t="str">
        <f>columnnames!G35 &amp; "(" &amp; datasample!G35 &amp; ")"</f>
        <v>tripduration(441.0)</v>
      </c>
      <c r="H35" t="str">
        <f>columnnames!H35 &amp; "(" &amp; datasample!H35 &amp; ")"</f>
        <v>from_station_id(44)</v>
      </c>
      <c r="I35" t="str">
        <f>columnnames!I35 &amp; "(" &amp; datasample!I35 &amp; ")"</f>
        <v>from_station_name(State St &amp; Randolph St)</v>
      </c>
      <c r="J35" t="str">
        <f>columnnames!J35 &amp; "(" &amp; datasample!J35 &amp; ")"</f>
        <v>to_station_id(624)</v>
      </c>
      <c r="K35" t="str">
        <f>columnnames!K35 &amp; "(" &amp; datasample!K35 &amp; ")"</f>
        <v>to_station_name(Dearborn St &amp; Van Buren St (*))</v>
      </c>
      <c r="L35" s="2" t="str">
        <f>columnnames!L35 &amp; "(" &amp; datasample!L35 &amp; ")"</f>
        <v>usertype(Subscriber)</v>
      </c>
      <c r="M35" t="str">
        <f>columnnames!M35 &amp; "(" &amp; datasample!M35 &amp; ")"</f>
        <v>gender(Female)</v>
      </c>
      <c r="N35" t="str">
        <f>columnnames!N35 &amp; "(" &amp; datasample!N35 &amp; ")"</f>
        <v>birthyear(1990)</v>
      </c>
      <c r="O35" t="str">
        <f>columnnames!O35 &amp; "(" &amp; datasample!O35 &amp; ")"</f>
        <v>()</v>
      </c>
    </row>
    <row r="36" spans="1:15" x14ac:dyDescent="0.3">
      <c r="A36" t="s">
        <v>102</v>
      </c>
      <c r="B36" s="4">
        <v>2019</v>
      </c>
      <c r="C36" t="str">
        <f>columnnames!C36 &amp; "(" &amp; datasample!C36 &amp; ")"</f>
        <v>01 - Rental Details Rental ID(22178530)</v>
      </c>
      <c r="D36" s="3" t="str">
        <f>columnnames!D36 &amp; "(" &amp; datasample!D36 &amp; ")"</f>
        <v>01 - Rental Details Local Start Time(2019-04-01 00:03:02)</v>
      </c>
      <c r="E36" s="3" t="str">
        <f>columnnames!E36 &amp; "(" &amp; datasample!E36 &amp; ")"</f>
        <v>01 - Rental Details Local End Time(2019-04-01 00:20:30)</v>
      </c>
      <c r="F36" t="str">
        <f>columnnames!F36 &amp; "(" &amp; datasample!F36 &amp; ")"</f>
        <v>01 - Rental Details Bike ID(6226)</v>
      </c>
      <c r="G36" t="str">
        <f>columnnames!G36 &amp; "(" &amp; datasample!G36 &amp; ")"</f>
        <v>01 - Rental Details Duration In Seconds Uncapped(1,048.0)</v>
      </c>
      <c r="H36" t="str">
        <f>columnnames!H36 &amp; "(" &amp; datasample!H36 &amp; ")"</f>
        <v>03 - Rental Start Station ID(317)</v>
      </c>
      <c r="I36" t="str">
        <f>columnnames!I36 &amp; "(" &amp; datasample!I36 &amp; ")"</f>
        <v>03 - Rental Start Station Name(Wood St &amp; Taylor St)</v>
      </c>
      <c r="J36" t="str">
        <f>columnnames!J36 &amp; "(" &amp; datasample!J36 &amp; ")"</f>
        <v>02 - Rental End Station ID(59)</v>
      </c>
      <c r="K36" t="str">
        <f>columnnames!K36 &amp; "(" &amp; datasample!K36 &amp; ")"</f>
        <v>02 - Rental End Station Name(Wabash Ave &amp; Roosevelt Rd)</v>
      </c>
      <c r="L36" s="2" t="str">
        <f>columnnames!L36 &amp; "(" &amp; datasample!L36 &amp; ")"</f>
        <v>User Type(Subscriber)</v>
      </c>
      <c r="M36" t="str">
        <f>columnnames!M36 &amp; "(" &amp; datasample!M36 &amp; ")"</f>
        <v>Member Gender(Female)</v>
      </c>
      <c r="N36" t="str">
        <f>columnnames!N36 &amp; "(" &amp; datasample!N36 &amp; ")"</f>
        <v>05 - Member Details Member Birthday Year(1984)</v>
      </c>
      <c r="O36" t="str">
        <f>columnnames!O36 &amp; "(" &amp; datasample!O36 &amp; ")"</f>
        <v>()</v>
      </c>
    </row>
    <row r="37" spans="1:15" x14ac:dyDescent="0.3">
      <c r="A37" t="s">
        <v>97</v>
      </c>
      <c r="B37" s="4">
        <v>2019</v>
      </c>
      <c r="C37" t="str">
        <f>columnnames!C37 &amp; "(" &amp; datasample!C37 &amp; ")"</f>
        <v>trip_id(23479389)</v>
      </c>
      <c r="D37" s="3" t="str">
        <f>columnnames!D37 &amp; "(" &amp; datasample!D37 &amp; ")"</f>
        <v>start_time(2019-07-01 00:01:16)</v>
      </c>
      <c r="E37" s="3" t="str">
        <f>columnnames!E37 &amp; "(" &amp; datasample!E37 &amp; ")"</f>
        <v>end_time(2019-07-01 00:18:44)</v>
      </c>
      <c r="F37" t="str">
        <f>columnnames!F37 &amp; "(" &amp; datasample!F37 &amp; ")"</f>
        <v>bikeid(5353)</v>
      </c>
      <c r="G37" t="str">
        <f>columnnames!G37 &amp; "(" &amp; datasample!G37 &amp; ")"</f>
        <v>tripduration(1,048.0)</v>
      </c>
      <c r="H37" t="str">
        <f>columnnames!H37 &amp; "(" &amp; datasample!H37 &amp; ")"</f>
        <v>from_station_id(381)</v>
      </c>
      <c r="I37" t="str">
        <f>columnnames!I37 &amp; "(" &amp; datasample!I37 &amp; ")"</f>
        <v>from_station_name(Western Ave &amp; Monroe St)</v>
      </c>
      <c r="J37" t="str">
        <f>columnnames!J37 &amp; "(" &amp; datasample!J37 &amp; ")"</f>
        <v>to_station_id(203)</v>
      </c>
      <c r="K37" t="str">
        <f>columnnames!K37 &amp; "(" &amp; datasample!K37 &amp; ")"</f>
        <v>to_station_name(Western Ave &amp; 21st St)</v>
      </c>
      <c r="L37" s="2" t="str">
        <f>columnnames!L37 &amp; "(" &amp; datasample!L37 &amp; ")"</f>
        <v>usertype(Customer)</v>
      </c>
      <c r="M37" t="str">
        <f>columnnames!M37 &amp; "(" &amp; datasample!M37 &amp; ")"</f>
        <v>gender()</v>
      </c>
      <c r="N37" t="str">
        <f>columnnames!N37 &amp; "(" &amp; datasample!N37 &amp; ")"</f>
        <v>birthyear()</v>
      </c>
      <c r="O37" t="str">
        <f>columnnames!O37 &amp; "(" &amp; datasample!O37 &amp; ")"</f>
        <v>()</v>
      </c>
    </row>
    <row r="38" spans="1:15" x14ac:dyDescent="0.3">
      <c r="A38" t="s">
        <v>118</v>
      </c>
      <c r="B38" s="4">
        <v>2019</v>
      </c>
      <c r="C38" t="str">
        <f>columnnames!C38 &amp; "(" &amp; datasample!C38 &amp; ")"</f>
        <v>trip_id(25223641)</v>
      </c>
      <c r="D38" s="3" t="str">
        <f>columnnames!D38 &amp; "(" &amp; datasample!D38 &amp; ")"</f>
        <v>start_time(2019-10-01 00:02:16)</v>
      </c>
      <c r="E38" s="3" t="str">
        <f>columnnames!E38 &amp; "(" &amp; datasample!E38 &amp; ")"</f>
        <v>end_time(2019-10-01 00:06:34)</v>
      </c>
      <c r="F38" t="str">
        <f>columnnames!F38 &amp; "(" &amp; datasample!F38 &amp; ")"</f>
        <v>bikeid(6328)</v>
      </c>
      <c r="G38" t="str">
        <f>columnnames!G38 &amp; "(" &amp; datasample!G38 &amp; ")"</f>
        <v>tripduration(258.0)</v>
      </c>
      <c r="H38" t="str">
        <f>columnnames!H38 &amp; "(" &amp; datasample!H38 &amp; ")"</f>
        <v>from_station_id(19)</v>
      </c>
      <c r="I38" t="str">
        <f>columnnames!I38 &amp; "(" &amp; datasample!I38 &amp; ")"</f>
        <v>from_station_name(Throop (Loomis) St &amp; Taylor St)</v>
      </c>
      <c r="J38" t="str">
        <f>columnnames!J38 &amp; "(" &amp; datasample!J38 &amp; ")"</f>
        <v>to_station_id(241)</v>
      </c>
      <c r="K38" t="str">
        <f>columnnames!K38 &amp; "(" &amp; datasample!K38 &amp; ")"</f>
        <v>to_station_name(Morgan St &amp; Polk St)</v>
      </c>
      <c r="L38" s="2" t="str">
        <f>columnnames!L38 &amp; "(" &amp; datasample!L38 &amp; ")"</f>
        <v>usertype(Subscriber)</v>
      </c>
      <c r="M38" t="str">
        <f>columnnames!M38 &amp; "(" &amp; datasample!M38 &amp; ")"</f>
        <v>gender(Male)</v>
      </c>
      <c r="N38" t="str">
        <f>columnnames!N38 &amp; "(" &amp; datasample!N38 &amp; ")"</f>
        <v>birthyear(1998)</v>
      </c>
      <c r="O38" t="str">
        <f>columnnames!O38 &amp; "(" &amp; datasample!O38 &amp; ")"</f>
        <v>()</v>
      </c>
    </row>
    <row r="39" spans="1:15" x14ac:dyDescent="0.3">
      <c r="A39" t="s">
        <v>56</v>
      </c>
      <c r="B39" s="5" t="str">
        <f t="shared" ref="B39:B47" si="0">LEFT(A39, 4)</f>
        <v>2020</v>
      </c>
      <c r="C39" t="str">
        <f>columnnames!C39 &amp; "(" &amp; datasample!C39 &amp; ")"</f>
        <v>ride_id(5405B80E996FF60D)</v>
      </c>
      <c r="D39" t="str">
        <f>columnnames!D39 &amp; "(" &amp; datasample!D39 &amp; ")"</f>
        <v>rideable_type(docked_bike)</v>
      </c>
      <c r="E39" s="3" t="str">
        <f>columnnames!E39 &amp; "(" &amp; datasample!E39 &amp; ")"</f>
        <v>started_at(2020-04-17 17:08:54)</v>
      </c>
      <c r="F39" s="3" t="str">
        <f>columnnames!F39 &amp; "(" &amp; datasample!F39 &amp; ")"</f>
        <v>ended_at(2020-04-17 17:17:03)</v>
      </c>
      <c r="G39" t="str">
        <f>columnnames!G39 &amp; "(" &amp; datasample!G39 &amp; ")"</f>
        <v>start_station_name(Drake Ave &amp; Fullerton Ave)</v>
      </c>
      <c r="H39" t="str">
        <f>columnnames!H39 &amp; "(" &amp; datasample!H39 &amp; ")"</f>
        <v>start_station_id(503)</v>
      </c>
      <c r="I39" t="str">
        <f>columnnames!I39 &amp; "(" &amp; datasample!I39 &amp; ")"</f>
        <v>end_station_name(Kosciuszko Park)</v>
      </c>
      <c r="J39" t="str">
        <f>columnnames!J39 &amp; "(" &amp; datasample!J39 &amp; ")"</f>
        <v>end_station_id(499)</v>
      </c>
      <c r="K39" t="str">
        <f>columnnames!K39 &amp; "(" &amp; datasample!K39 &amp; ")"</f>
        <v>start_lat(41.9244)</v>
      </c>
      <c r="L39" t="str">
        <f>columnnames!L39 &amp; "(" &amp; datasample!L39 &amp; ")"</f>
        <v>start_lng(-87.7154)</v>
      </c>
      <c r="M39" t="str">
        <f>columnnames!M39 &amp; "(" &amp; datasample!M39 &amp; ")"</f>
        <v>end_lat(41.9306)</v>
      </c>
      <c r="N39" t="str">
        <f>columnnames!N39 &amp; "(" &amp; datasample!N39 &amp; ")"</f>
        <v>end_lng(-87.7238)</v>
      </c>
      <c r="O39" s="2" t="str">
        <f>columnnames!O39 &amp; "(" &amp; datasample!O39 &amp; ")"</f>
        <v>member_casual(member)</v>
      </c>
    </row>
    <row r="40" spans="1:15" x14ac:dyDescent="0.3">
      <c r="A40" t="s">
        <v>153</v>
      </c>
      <c r="B40" s="5" t="str">
        <f t="shared" si="0"/>
        <v>2020</v>
      </c>
      <c r="C40" t="str">
        <f>columnnames!C40 &amp; "(" &amp; datasample!C40 &amp; ")"</f>
        <v>ride_id(7A50CCAF1EDDB28F)</v>
      </c>
      <c r="D40" t="str">
        <f>columnnames!D40 &amp; "(" &amp; datasample!D40 &amp; ")"</f>
        <v>rideable_type(docked_bike)</v>
      </c>
      <c r="E40" s="3" t="str">
        <f>columnnames!E40 &amp; "(" &amp; datasample!E40 &amp; ")"</f>
        <v>started_at(2020-05-25 10:47:11)</v>
      </c>
      <c r="F40" s="3" t="str">
        <f>columnnames!F40 &amp; "(" &amp; datasample!F40 &amp; ")"</f>
        <v>ended_at(2020-05-25 11:05:40)</v>
      </c>
      <c r="G40" t="str">
        <f>columnnames!G40 &amp; "(" &amp; datasample!G40 &amp; ")"</f>
        <v>start_station_name(Clark St &amp; Wrightwood Ave)</v>
      </c>
      <c r="H40" t="str">
        <f>columnnames!H40 &amp; "(" &amp; datasample!H40 &amp; ")"</f>
        <v>start_station_id(340)</v>
      </c>
      <c r="I40" t="str">
        <f>columnnames!I40 &amp; "(" &amp; datasample!I40 &amp; ")"</f>
        <v>end_station_name(Clark St &amp; Leland Ave)</v>
      </c>
      <c r="J40" t="str">
        <f>columnnames!J40 &amp; "(" &amp; datasample!J40 &amp; ")"</f>
        <v>end_station_id(326)</v>
      </c>
      <c r="K40" t="str">
        <f>columnnames!K40 &amp; "(" &amp; datasample!K40 &amp; ")"</f>
        <v>start_lat(41.9295)</v>
      </c>
      <c r="L40" t="str">
        <f>columnnames!L40 &amp; "(" &amp; datasample!L40 &amp; ")"</f>
        <v>start_lng(-87.6431)</v>
      </c>
      <c r="M40" t="str">
        <f>columnnames!M40 &amp; "(" &amp; datasample!M40 &amp; ")"</f>
        <v>end_lat(41.9671)</v>
      </c>
      <c r="N40" t="str">
        <f>columnnames!N40 &amp; "(" &amp; datasample!N40 &amp; ")"</f>
        <v>end_lng(-87.6674)</v>
      </c>
      <c r="O40" s="2" t="str">
        <f>columnnames!O40 &amp; "(" &amp; datasample!O40 &amp; ")"</f>
        <v>member_casual(casual)</v>
      </c>
    </row>
    <row r="41" spans="1:15" x14ac:dyDescent="0.3">
      <c r="A41" t="s">
        <v>66</v>
      </c>
      <c r="B41" s="5" t="str">
        <f t="shared" si="0"/>
        <v>2020</v>
      </c>
      <c r="C41" t="str">
        <f>columnnames!C41 &amp; "(" &amp; datasample!C41 &amp; ")"</f>
        <v>ride_id(9A191EB2C751D85D)</v>
      </c>
      <c r="D41" t="str">
        <f>columnnames!D41 &amp; "(" &amp; datasample!D41 &amp; ")"</f>
        <v>rideable_type(docked_bike)</v>
      </c>
      <c r="E41" s="3" t="str">
        <f>columnnames!E41 &amp; "(" &amp; datasample!E41 &amp; ")"</f>
        <v>started_at(2020-06-26 07:26:10)</v>
      </c>
      <c r="F41" s="3" t="str">
        <f>columnnames!F41 &amp; "(" &amp; datasample!F41 &amp; ")"</f>
        <v>ended_at(2020-06-26 07:31:58)</v>
      </c>
      <c r="G41" t="str">
        <f>columnnames!G41 &amp; "(" &amp; datasample!G41 &amp; ")"</f>
        <v>start_station_name(Federal St &amp; Polk St)</v>
      </c>
      <c r="H41" t="str">
        <f>columnnames!H41 &amp; "(" &amp; datasample!H41 &amp; ")"</f>
        <v>start_station_id(41)</v>
      </c>
      <c r="I41" t="str">
        <f>columnnames!I41 &amp; "(" &amp; datasample!I41 &amp; ")"</f>
        <v>end_station_name(Daley Center Plaza)</v>
      </c>
      <c r="J41" t="str">
        <f>columnnames!J41 &amp; "(" &amp; datasample!J41 &amp; ")"</f>
        <v>end_station_id(81)</v>
      </c>
      <c r="K41" t="str">
        <f>columnnames!K41 &amp; "(" &amp; datasample!K41 &amp; ")"</f>
        <v>start_lat(41.872077)</v>
      </c>
      <c r="L41" t="str">
        <f>columnnames!L41 &amp; "(" &amp; datasample!L41 &amp; ")"</f>
        <v>start_lng(-87.629543)</v>
      </c>
      <c r="M41" t="str">
        <f>columnnames!M41 &amp; "(" &amp; datasample!M41 &amp; ")"</f>
        <v>end_lat(41.884241)</v>
      </c>
      <c r="N41" t="str">
        <f>columnnames!N41 &amp; "(" &amp; datasample!N41 &amp; ")"</f>
        <v>end_lng(-87.629634)</v>
      </c>
      <c r="O41" s="2" t="str">
        <f>columnnames!O41 &amp; "(" &amp; datasample!O41 &amp; ")"</f>
        <v>member_casual(member)</v>
      </c>
    </row>
    <row r="42" spans="1:15" x14ac:dyDescent="0.3">
      <c r="A42" t="s">
        <v>112</v>
      </c>
      <c r="B42" s="5" t="str">
        <f t="shared" si="0"/>
        <v>2020</v>
      </c>
      <c r="C42" t="str">
        <f>columnnames!C42 &amp; "(" &amp; datasample!C42 &amp; ")"</f>
        <v>ride_id(BEC9C9FBA0D4CF1B)</v>
      </c>
      <c r="D42" t="str">
        <f>columnnames!D42 &amp; "(" &amp; datasample!D42 &amp; ")"</f>
        <v>rideable_type(docked_bike)</v>
      </c>
      <c r="E42" s="3" t="str">
        <f>columnnames!E42 &amp; "(" &amp; datasample!E42 &amp; ")"</f>
        <v>started_at(2020-07-24 23:56:30)</v>
      </c>
      <c r="F42" s="3" t="str">
        <f>columnnames!F42 &amp; "(" &amp; datasample!F42 &amp; ")"</f>
        <v>ended_at(2020-07-25 00:20:17)</v>
      </c>
      <c r="G42" t="str">
        <f>columnnames!G42 &amp; "(" &amp; datasample!G42 &amp; ")"</f>
        <v>start_station_name(Halsted St &amp; Roscoe St)</v>
      </c>
      <c r="H42" t="str">
        <f>columnnames!H42 &amp; "(" &amp; datasample!H42 &amp; ")"</f>
        <v>start_station_id(299)</v>
      </c>
      <c r="I42" t="str">
        <f>columnnames!I42 &amp; "(" &amp; datasample!I42 &amp; ")"</f>
        <v>end_station_name(Broadway &amp; Ridge Ave)</v>
      </c>
      <c r="J42" t="str">
        <f>columnnames!J42 &amp; "(" &amp; datasample!J42 &amp; ")"</f>
        <v>end_station_id(461)</v>
      </c>
      <c r="K42" t="str">
        <f>columnnames!K42 &amp; "(" &amp; datasample!K42 &amp; ")"</f>
        <v>start_lat(41.94367)</v>
      </c>
      <c r="L42" t="str">
        <f>columnnames!L42 &amp; "(" &amp; datasample!L42 &amp; ")"</f>
        <v>start_lng(-87.64895)</v>
      </c>
      <c r="M42" t="str">
        <f>columnnames!M42 &amp; "(" &amp; datasample!M42 &amp; ")"</f>
        <v>end_lat(41.9840446107)</v>
      </c>
      <c r="N42" t="str">
        <f>columnnames!N42 &amp; "(" &amp; datasample!N42 &amp; ")"</f>
        <v>end_lng(-87.6602738295)</v>
      </c>
      <c r="O42" s="2" t="str">
        <f>columnnames!O42 &amp; "(" &amp; datasample!O42 &amp; ")"</f>
        <v>member_casual(member)</v>
      </c>
    </row>
    <row r="43" spans="1:15" x14ac:dyDescent="0.3">
      <c r="A43" t="s">
        <v>98</v>
      </c>
      <c r="B43" s="5" t="str">
        <f t="shared" si="0"/>
        <v>2020</v>
      </c>
      <c r="C43" t="str">
        <f>columnnames!C43 &amp; "(" &amp; datasample!C43 &amp; ")"</f>
        <v>ride_id(2A3AEF1AB9054D8B)</v>
      </c>
      <c r="D43" t="str">
        <f>columnnames!D43 &amp; "(" &amp; datasample!D43 &amp; ")"</f>
        <v>rideable_type(electric_bike)</v>
      </c>
      <c r="E43" s="3" t="str">
        <f>columnnames!E43 &amp; "(" &amp; datasample!E43 &amp; ")"</f>
        <v>started_at(2020-08-27 18:46:04)</v>
      </c>
      <c r="F43" s="3" t="str">
        <f>columnnames!F43 &amp; "(" &amp; datasample!F43 &amp; ")"</f>
        <v>ended_at(2020-08-27 19:54:51)</v>
      </c>
      <c r="G43" t="str">
        <f>columnnames!G43 &amp; "(" &amp; datasample!G43 &amp; ")"</f>
        <v>start_station_name(Michigan Ave &amp; 14th St)</v>
      </c>
      <c r="H43" t="str">
        <f>columnnames!H43 &amp; "(" &amp; datasample!H43 &amp; ")"</f>
        <v>start_station_id(168)</v>
      </c>
      <c r="I43" t="str">
        <f>columnnames!I43 &amp; "(" &amp; datasample!I43 &amp; ")"</f>
        <v>end_station_name(Michigan Ave &amp; 14th St)</v>
      </c>
      <c r="J43" t="str">
        <f>columnnames!J43 &amp; "(" &amp; datasample!J43 &amp; ")"</f>
        <v>end_station_id(168)</v>
      </c>
      <c r="K43" t="str">
        <f>columnnames!K43 &amp; "(" &amp; datasample!K43 &amp; ")"</f>
        <v>start_lat(41.8643791666667)</v>
      </c>
      <c r="L43" t="str">
        <f>columnnames!L43 &amp; "(" &amp; datasample!L43 &amp; ")"</f>
        <v>start_lng(-87.6236811666667)</v>
      </c>
      <c r="M43" t="str">
        <f>columnnames!M43 &amp; "(" &amp; datasample!M43 &amp; ")"</f>
        <v>end_lat(41.8642215)</v>
      </c>
      <c r="N43" t="str">
        <f>columnnames!N43 &amp; "(" &amp; datasample!N43 &amp; ")"</f>
        <v>end_lng(-87.6234388333333)</v>
      </c>
      <c r="O43" s="2" t="str">
        <f>columnnames!O43 &amp; "(" &amp; datasample!O43 &amp; ")"</f>
        <v>member_casual(casual)</v>
      </c>
    </row>
    <row r="44" spans="1:15" x14ac:dyDescent="0.3">
      <c r="A44" t="s">
        <v>82</v>
      </c>
      <c r="B44" s="5" t="str">
        <f t="shared" si="0"/>
        <v>2020</v>
      </c>
      <c r="C44" t="str">
        <f>columnnames!C44 &amp; "(" &amp; datasample!C44 &amp; ")"</f>
        <v>ride_id(A7FB70B4AFC6CAF2)</v>
      </c>
      <c r="D44" t="str">
        <f>columnnames!D44 &amp; "(" &amp; datasample!D44 &amp; ")"</f>
        <v>rideable_type(electric_bike)</v>
      </c>
      <c r="E44" s="3" t="str">
        <f>columnnames!E44 &amp; "(" &amp; datasample!E44 &amp; ")"</f>
        <v>started_at(2020-09-17 15:07:31)</v>
      </c>
      <c r="F44" s="3" t="str">
        <f>columnnames!F44 &amp; "(" &amp; datasample!F44 &amp; ")"</f>
        <v>ended_at(2020-09-17 15:07:45)</v>
      </c>
      <c r="G44" t="str">
        <f>columnnames!G44 &amp; "(" &amp; datasample!G44 &amp; ")"</f>
        <v>start_station_name(W Oakdale Ave &amp; N Broadway)</v>
      </c>
      <c r="H44" t="str">
        <f>columnnames!H44 &amp; "(" &amp; datasample!H44 &amp; ")"</f>
        <v>start_station_id()</v>
      </c>
      <c r="I44" t="str">
        <f>columnnames!I44 &amp; "(" &amp; datasample!I44 &amp; ")"</f>
        <v>end_station_name(W Oakdale Ave &amp; N Broadway)</v>
      </c>
      <c r="J44" t="str">
        <f>columnnames!J44 &amp; "(" &amp; datasample!J44 &amp; ")"</f>
        <v>end_station_id()</v>
      </c>
      <c r="K44" t="str">
        <f>columnnames!K44 &amp; "(" &amp; datasample!K44 &amp; ")"</f>
        <v>start_lat(41.94)</v>
      </c>
      <c r="L44" t="str">
        <f>columnnames!L44 &amp; "(" &amp; datasample!L44 &amp; ")"</f>
        <v>start_lng(-87.64)</v>
      </c>
      <c r="M44" t="str">
        <f>columnnames!M44 &amp; "(" &amp; datasample!M44 &amp; ")"</f>
        <v>end_lat(41.94)</v>
      </c>
      <c r="N44" t="str">
        <f>columnnames!N44 &amp; "(" &amp; datasample!N44 &amp; ")"</f>
        <v>end_lng(-87.64)</v>
      </c>
      <c r="O44" s="2" t="str">
        <f>columnnames!O44 &amp; "(" &amp; datasample!O44 &amp; ")"</f>
        <v>member_casual(casual)</v>
      </c>
    </row>
    <row r="45" spans="1:15" x14ac:dyDescent="0.3">
      <c r="A45" t="s">
        <v>155</v>
      </c>
      <c r="B45" s="5" t="str">
        <f t="shared" si="0"/>
        <v>2020</v>
      </c>
      <c r="C45" t="str">
        <f>columnnames!C45 &amp; "(" &amp; datasample!C45 &amp; ")"</f>
        <v>ride_id(DF450C72FD109C01)</v>
      </c>
      <c r="D45" t="str">
        <f>columnnames!D45 &amp; "(" &amp; datasample!D45 &amp; ")"</f>
        <v>rideable_type(electric_bike)</v>
      </c>
      <c r="E45" s="3" t="str">
        <f>columnnames!E45 &amp; "(" &amp; datasample!E45 &amp; ")"</f>
        <v>started_at(2020-10-31 23:50:08)</v>
      </c>
      <c r="F45" s="3" t="str">
        <f>columnnames!F45 &amp; "(" &amp; datasample!F45 &amp; ")"</f>
        <v>ended_at(2020-11-01 00:04:16)</v>
      </c>
      <c r="G45" t="str">
        <f>columnnames!G45 &amp; "(" &amp; datasample!G45 &amp; ")"</f>
        <v>start_station_name(Southport Ave &amp; Waveland Ave)</v>
      </c>
      <c r="H45" t="str">
        <f>columnnames!H45 &amp; "(" &amp; datasample!H45 &amp; ")"</f>
        <v>start_station_id(227)</v>
      </c>
      <c r="I45" t="str">
        <f>columnnames!I45 &amp; "(" &amp; datasample!I45 &amp; ")"</f>
        <v>end_station_name(Kedzie Ave &amp; Milwaukee Ave)</v>
      </c>
      <c r="J45" t="str">
        <f>columnnames!J45 &amp; "(" &amp; datasample!J45 &amp; ")"</f>
        <v>end_station_id(260)</v>
      </c>
      <c r="K45" t="str">
        <f>columnnames!K45 &amp; "(" &amp; datasample!K45 &amp; ")"</f>
        <v>start_lat(41.9481723333333)</v>
      </c>
      <c r="L45" t="str">
        <f>columnnames!L45 &amp; "(" &amp; datasample!L45 &amp; ")"</f>
        <v>start_lng(-87.663911)</v>
      </c>
      <c r="M45" t="str">
        <f>columnnames!M45 &amp; "(" &amp; datasample!M45 &amp; ")"</f>
        <v>end_lat(41.9295276666667)</v>
      </c>
      <c r="N45" t="str">
        <f>columnnames!N45 &amp; "(" &amp; datasample!N45 &amp; ")"</f>
        <v>end_lng(-87.7078178333333)</v>
      </c>
      <c r="O45" s="2" t="str">
        <f>columnnames!O45 &amp; "(" &amp; datasample!O45 &amp; ")"</f>
        <v>member_casual(casual)</v>
      </c>
    </row>
    <row r="46" spans="1:15" x14ac:dyDescent="0.3">
      <c r="A46" t="s">
        <v>83</v>
      </c>
      <c r="B46" s="5" t="str">
        <f t="shared" si="0"/>
        <v>2020</v>
      </c>
      <c r="C46" t="str">
        <f>columnnames!C46 &amp; "(" &amp; datasample!C46 &amp; ")"</f>
        <v>ride_id(96A7A7A4BDE4F82D)</v>
      </c>
      <c r="D46" t="str">
        <f>columnnames!D46 &amp; "(" &amp; datasample!D46 &amp; ")"</f>
        <v>rideable_type(electric_bike)</v>
      </c>
      <c r="E46" s="3" t="str">
        <f>columnnames!E46 &amp; "(" &amp; datasample!E46 &amp; ")"</f>
        <v>started_at(2020-11-01 10:03:26)</v>
      </c>
      <c r="F46" s="3" t="str">
        <f>columnnames!F46 &amp; "(" &amp; datasample!F46 &amp; ")"</f>
        <v>ended_at(2020-11-01 10:14:45)</v>
      </c>
      <c r="G46" t="str">
        <f>columnnames!G46 &amp; "(" &amp; datasample!G46 &amp; ")"</f>
        <v>start_station_name(Franklin St &amp; Illinois St)</v>
      </c>
      <c r="H46" t="str">
        <f>columnnames!H46 &amp; "(" &amp; datasample!H46 &amp; ")"</f>
        <v>start_station_id(672)</v>
      </c>
      <c r="I46" t="str">
        <f>columnnames!I46 &amp; "(" &amp; datasample!I46 &amp; ")"</f>
        <v>end_station_name(Noble St &amp; Milwaukee Ave)</v>
      </c>
      <c r="J46" t="str">
        <f>columnnames!J46 &amp; "(" &amp; datasample!J46 &amp; ")"</f>
        <v>end_station_id(29)</v>
      </c>
      <c r="K46" t="str">
        <f>columnnames!K46 &amp; "(" &amp; datasample!K46 &amp; ")"</f>
        <v>start_lat(41.8909586666667)</v>
      </c>
      <c r="L46" t="str">
        <f>columnnames!L46 &amp; "(" &amp; datasample!L46 &amp; ")"</f>
        <v>start_lng(-87.6353428333333)</v>
      </c>
      <c r="M46" t="str">
        <f>columnnames!M46 &amp; "(" &amp; datasample!M46 &amp; ")"</f>
        <v>end_lat(41.900675)</v>
      </c>
      <c r="N46" t="str">
        <f>columnnames!N46 &amp; "(" &amp; datasample!N46 &amp; ")"</f>
        <v>end_lng(-87.6624803333333)</v>
      </c>
      <c r="O46" s="2" t="str">
        <f>columnnames!O46 &amp; "(" &amp; datasample!O46 &amp; ")"</f>
        <v>member_casual(casual)</v>
      </c>
    </row>
    <row r="47" spans="1:15" x14ac:dyDescent="0.3">
      <c r="A47" t="s">
        <v>31</v>
      </c>
      <c r="B47" s="5" t="str">
        <f t="shared" si="0"/>
        <v>2020</v>
      </c>
      <c r="C47" t="str">
        <f>columnnames!C47 &amp; "(" &amp; datasample!C47 &amp; ")"</f>
        <v>ride_id(158A465D4E74C54A)</v>
      </c>
      <c r="D47" t="str">
        <f>columnnames!D47 &amp; "(" &amp; datasample!D47 &amp; ")"</f>
        <v>rideable_type(electric_bike)</v>
      </c>
      <c r="E47" s="3" t="str">
        <f>columnnames!E47 &amp; "(" &amp; datasample!E47 &amp; ")"</f>
        <v>started_at(2020-12-18 17:37:15)</v>
      </c>
      <c r="F47" s="3" t="str">
        <f>columnnames!F47 &amp; "(" &amp; datasample!F47 &amp; ")"</f>
        <v>ended_at(2020-12-18 17:44:19)</v>
      </c>
      <c r="G47" t="str">
        <f>columnnames!G47 &amp; "(" &amp; datasample!G47 &amp; ")"</f>
        <v>start_station_name()</v>
      </c>
      <c r="H47" t="str">
        <f>columnnames!H47 &amp; "(" &amp; datasample!H47 &amp; ")"</f>
        <v>start_station_id()</v>
      </c>
      <c r="I47" t="str">
        <f>columnnames!I47 &amp; "(" &amp; datasample!I47 &amp; ")"</f>
        <v>end_station_name()</v>
      </c>
      <c r="J47" t="str">
        <f>columnnames!J47 &amp; "(" &amp; datasample!J47 &amp; ")"</f>
        <v>end_station_id()</v>
      </c>
      <c r="K47" t="str">
        <f>columnnames!K47 &amp; "(" &amp; datasample!K47 &amp; ")"</f>
        <v>start_lat(41.93)</v>
      </c>
      <c r="L47" t="str">
        <f>columnnames!L47 &amp; "(" &amp; datasample!L47 &amp; ")"</f>
        <v>start_lng(-87.7)</v>
      </c>
      <c r="M47" t="str">
        <f>columnnames!M47 &amp; "(" &amp; datasample!M47 &amp; ")"</f>
        <v>end_lat(41.91)</v>
      </c>
      <c r="N47" t="str">
        <f>columnnames!N47 &amp; "(" &amp; datasample!N47 &amp; ")"</f>
        <v>end_lng(-87.7)</v>
      </c>
      <c r="O47" s="2" t="str">
        <f>columnnames!O47 &amp; "(" &amp; datasample!O47 &amp; ")"</f>
        <v>member_casual(member)</v>
      </c>
    </row>
    <row r="48" spans="1:15" x14ac:dyDescent="0.3">
      <c r="A48" t="s">
        <v>150</v>
      </c>
      <c r="B48" s="5">
        <v>2020</v>
      </c>
      <c r="C48" t="str">
        <f>columnnames!C48 &amp; "(" &amp; datasample!C48 &amp; ")"</f>
        <v>ride_id(8FED874C809DC021)</v>
      </c>
      <c r="D48" t="str">
        <f>columnnames!D48 &amp; "(" &amp; datasample!D48 &amp; ")"</f>
        <v>rideable_type(docked_bike)</v>
      </c>
      <c r="E48" s="3" t="str">
        <f>columnnames!E48 &amp; "(" &amp; datasample!E48 &amp; ")"</f>
        <v>started_at(2020-01-30 14:22:39)</v>
      </c>
      <c r="F48" s="3" t="str">
        <f>columnnames!F48 &amp; "(" &amp; datasample!F48 &amp; ")"</f>
        <v>ended_at(2020-01-30 14:26:22)</v>
      </c>
      <c r="G48" t="str">
        <f>columnnames!G48 &amp; "(" &amp; datasample!G48 &amp; ")"</f>
        <v>start_station_name(Clark St &amp; Montrose Ave)</v>
      </c>
      <c r="H48" t="str">
        <f>columnnames!H48 &amp; "(" &amp; datasample!H48 &amp; ")"</f>
        <v>start_station_id(234)</v>
      </c>
      <c r="I48" t="str">
        <f>columnnames!I48 &amp; "(" &amp; datasample!I48 &amp; ")"</f>
        <v>end_station_name(Southport Ave &amp; Irving Park Rd)</v>
      </c>
      <c r="J48" t="str">
        <f>columnnames!J48 &amp; "(" &amp; datasample!J48 &amp; ")"</f>
        <v>end_station_id(318)</v>
      </c>
      <c r="K48" t="str">
        <f>columnnames!K48 &amp; "(" &amp; datasample!K48 &amp; ")"</f>
        <v>start_lat(41.9616)</v>
      </c>
      <c r="L48" t="str">
        <f>columnnames!L48 &amp; "(" &amp; datasample!L48 &amp; ")"</f>
        <v>start_lng(-87.666)</v>
      </c>
      <c r="M48" t="str">
        <f>columnnames!M48 &amp; "(" &amp; datasample!M48 &amp; ")"</f>
        <v>end_lat(41.9542)</v>
      </c>
      <c r="N48" t="str">
        <f>columnnames!N48 &amp; "(" &amp; datasample!N48 &amp; ")"</f>
        <v>end_lng(-87.6644)</v>
      </c>
      <c r="O48" s="2" t="str">
        <f>columnnames!O48 &amp; "(" &amp; datasample!O48 &amp; ")"</f>
        <v>member_casual(member)</v>
      </c>
    </row>
    <row r="49" spans="1:15" x14ac:dyDescent="0.3">
      <c r="A49" t="s">
        <v>14</v>
      </c>
      <c r="B49" s="5" t="str">
        <f t="shared" ref="B49:B80" si="1">LEFT(A49, 4)</f>
        <v>2021</v>
      </c>
      <c r="C49" t="str">
        <f>columnnames!C49 &amp; "(" &amp; datasample!C49 &amp; ")"</f>
        <v>ride_id(DC88F20C2C55F27F)</v>
      </c>
      <c r="D49" t="str">
        <f>columnnames!D49 &amp; "(" &amp; datasample!D49 &amp; ")"</f>
        <v>rideable_type(electric_bike)</v>
      </c>
      <c r="E49" s="3" t="str">
        <f>columnnames!E49 &amp; "(" &amp; datasample!E49 &amp; ")"</f>
        <v>started_at(2021-01-27 18:43:08)</v>
      </c>
      <c r="F49" s="3" t="str">
        <f>columnnames!F49 &amp; "(" &amp; datasample!F49 &amp; ")"</f>
        <v>ended_at(2021-01-27 18:47:12)</v>
      </c>
      <c r="G49" t="str">
        <f>columnnames!G49 &amp; "(" &amp; datasample!G49 &amp; ")"</f>
        <v>start_station_name(California Ave &amp; Cortez St)</v>
      </c>
      <c r="H49" t="str">
        <f>columnnames!H49 &amp; "(" &amp; datasample!H49 &amp; ")"</f>
        <v>start_station_id(17660)</v>
      </c>
      <c r="I49" t="str">
        <f>columnnames!I49 &amp; "(" &amp; datasample!I49 &amp; ")"</f>
        <v>end_station_name()</v>
      </c>
      <c r="J49" t="str">
        <f>columnnames!J49 &amp; "(" &amp; datasample!J49 &amp; ")"</f>
        <v>end_station_id()</v>
      </c>
      <c r="K49" t="str">
        <f>columnnames!K49 &amp; "(" &amp; datasample!K49 &amp; ")"</f>
        <v>start_lat(41.9003328333333)</v>
      </c>
      <c r="L49" t="str">
        <f>columnnames!L49 &amp; "(" &amp; datasample!L49 &amp; ")"</f>
        <v>start_lng(-87.696707)</v>
      </c>
      <c r="M49" t="str">
        <f>columnnames!M49 &amp; "(" &amp; datasample!M49 &amp; ")"</f>
        <v>end_lat(41.9)</v>
      </c>
      <c r="N49" t="str">
        <f>columnnames!N49 &amp; "(" &amp; datasample!N49 &amp; ")"</f>
        <v>end_lng(-87.69)</v>
      </c>
      <c r="O49" s="2" t="str">
        <f>columnnames!O49 &amp; "(" &amp; datasample!O49 &amp; ")"</f>
        <v>member_casual(member)</v>
      </c>
    </row>
    <row r="50" spans="1:15" x14ac:dyDescent="0.3">
      <c r="A50" t="s">
        <v>141</v>
      </c>
      <c r="B50" s="5" t="str">
        <f t="shared" si="1"/>
        <v>2021</v>
      </c>
      <c r="C50" t="str">
        <f>columnnames!C50 &amp; "(" &amp; datasample!C50 &amp; ")"</f>
        <v>ride_id(0FEFDE2603568365)</v>
      </c>
      <c r="D50" t="str">
        <f>columnnames!D50 &amp; "(" &amp; datasample!D50 &amp; ")"</f>
        <v>rideable_type(classic_bike)</v>
      </c>
      <c r="E50" s="3" t="str">
        <f>columnnames!E50 &amp; "(" &amp; datasample!E50 &amp; ")"</f>
        <v>started_at(2021-02-14 17:52:38)</v>
      </c>
      <c r="F50" s="3" t="str">
        <f>columnnames!F50 &amp; "(" &amp; datasample!F50 &amp; ")"</f>
        <v>ended_at(2021-02-14 18:12:09)</v>
      </c>
      <c r="G50" t="str">
        <f>columnnames!G50 &amp; "(" &amp; datasample!G50 &amp; ")"</f>
        <v>start_station_name(Glenwood Ave &amp; Touhy Ave)</v>
      </c>
      <c r="H50" t="str">
        <f>columnnames!H50 &amp; "(" &amp; datasample!H50 &amp; ")"</f>
        <v>start_station_id(525)</v>
      </c>
      <c r="I50" t="str">
        <f>columnnames!I50 &amp; "(" &amp; datasample!I50 &amp; ")"</f>
        <v>end_station_name(Bosworth Ave &amp; Howard St)</v>
      </c>
      <c r="J50" t="str">
        <f>columnnames!J50 &amp; "(" &amp; datasample!J50 &amp; ")"</f>
        <v>end_station_id(16806)</v>
      </c>
      <c r="K50" t="str">
        <f>columnnames!K50 &amp; "(" &amp; datasample!K50 &amp; ")"</f>
        <v>start_lat(42.012701)</v>
      </c>
      <c r="L50" t="str">
        <f>columnnames!L50 &amp; "(" &amp; datasample!L50 &amp; ")"</f>
        <v>start_lng(-87.666058)</v>
      </c>
      <c r="M50" t="str">
        <f>columnnames!M50 &amp; "(" &amp; datasample!M50 &amp; ")"</f>
        <v>end_lat(42.019537)</v>
      </c>
      <c r="N50" t="str">
        <f>columnnames!N50 &amp; "(" &amp; datasample!N50 &amp; ")"</f>
        <v>end_lng(-87.669563)</v>
      </c>
      <c r="O50" s="2" t="str">
        <f>columnnames!O50 &amp; "(" &amp; datasample!O50 &amp; ")"</f>
        <v>member_casual(casual)</v>
      </c>
    </row>
    <row r="51" spans="1:15" x14ac:dyDescent="0.3">
      <c r="A51" t="s">
        <v>143</v>
      </c>
      <c r="B51" s="5" t="str">
        <f t="shared" si="1"/>
        <v>2021</v>
      </c>
      <c r="C51" t="str">
        <f>columnnames!C51 &amp; "(" &amp; datasample!C51 &amp; ")"</f>
        <v>ride_id(30D9DC61227D1AF3)</v>
      </c>
      <c r="D51" t="str">
        <f>columnnames!D51 &amp; "(" &amp; datasample!D51 &amp; ")"</f>
        <v>rideable_type(classic_bike)</v>
      </c>
      <c r="E51" s="3" t="str">
        <f>columnnames!E51 &amp; "(" &amp; datasample!E51 &amp; ")"</f>
        <v>started_at(2021-03-28 01:26:28)</v>
      </c>
      <c r="F51" s="3" t="str">
        <f>columnnames!F51 &amp; "(" &amp; datasample!F51 &amp; ")"</f>
        <v>ended_at(2021-03-28 01:36:55)</v>
      </c>
      <c r="G51" t="str">
        <f>columnnames!G51 &amp; "(" &amp; datasample!G51 &amp; ")"</f>
        <v>start_station_name(Humboldt Blvd &amp; Armitage Ave)</v>
      </c>
      <c r="H51" t="str">
        <f>columnnames!H51 &amp; "(" &amp; datasample!H51 &amp; ")"</f>
        <v>start_station_id(15651)</v>
      </c>
      <c r="I51" t="str">
        <f>columnnames!I51 &amp; "(" &amp; datasample!I51 &amp; ")"</f>
        <v>end_station_name(Central Park Ave &amp; Bloomingdale Ave)</v>
      </c>
      <c r="J51" t="str">
        <f>columnnames!J51 &amp; "(" &amp; datasample!J51 &amp; ")"</f>
        <v>end_station_id(18017)</v>
      </c>
      <c r="K51" t="str">
        <f>columnnames!K51 &amp; "(" &amp; datasample!K51 &amp; ")"</f>
        <v>start_lat(41.91751339399)</v>
      </c>
      <c r="L51" t="str">
        <f>columnnames!L51 &amp; "(" &amp; datasample!L51 &amp; ")"</f>
        <v>start_lng(-87.7018089555)</v>
      </c>
      <c r="M51" t="str">
        <f>columnnames!M51 &amp; "(" &amp; datasample!M51 &amp; ")"</f>
        <v>end_lat(41.914166)</v>
      </c>
      <c r="N51" t="str">
        <f>columnnames!N51 &amp; "(" &amp; datasample!N51 &amp; ")"</f>
        <v>end_lng(-87.716755)</v>
      </c>
      <c r="O51" s="2" t="str">
        <f>columnnames!O51 &amp; "(" &amp; datasample!O51 &amp; ")"</f>
        <v>member_casual(casual)</v>
      </c>
    </row>
    <row r="52" spans="1:15" x14ac:dyDescent="0.3">
      <c r="A52" t="s">
        <v>60</v>
      </c>
      <c r="B52" s="5" t="str">
        <f t="shared" si="1"/>
        <v>2021</v>
      </c>
      <c r="C52" t="str">
        <f>columnnames!C52 &amp; "(" &amp; datasample!C52 &amp; ")"</f>
        <v>ride_id(1E0145613A209000)</v>
      </c>
      <c r="D52" t="str">
        <f>columnnames!D52 &amp; "(" &amp; datasample!D52 &amp; ")"</f>
        <v>rideable_type(docked_bike)</v>
      </c>
      <c r="E52" s="3" t="str">
        <f>columnnames!E52 &amp; "(" &amp; datasample!E52 &amp; ")"</f>
        <v>started_at(2021-04-27 17:27:11)</v>
      </c>
      <c r="F52" s="3" t="str">
        <f>columnnames!F52 &amp; "(" &amp; datasample!F52 &amp; ")"</f>
        <v>ended_at(2021-04-27 18:31:29)</v>
      </c>
      <c r="G52" t="str">
        <f>columnnames!G52 &amp; "(" &amp; datasample!G52 &amp; ")"</f>
        <v>start_station_name(Dorchester Ave &amp; 49th St)</v>
      </c>
      <c r="H52" t="str">
        <f>columnnames!H52 &amp; "(" &amp; datasample!H52 &amp; ")"</f>
        <v>start_station_id(KA1503000069)</v>
      </c>
      <c r="I52" t="str">
        <f>columnnames!I52 &amp; "(" &amp; datasample!I52 &amp; ")"</f>
        <v>end_station_name(Dorchester Ave &amp; 49th St)</v>
      </c>
      <c r="J52" t="str">
        <f>columnnames!J52 &amp; "(" &amp; datasample!J52 &amp; ")"</f>
        <v>end_station_id(KA1503000069)</v>
      </c>
      <c r="K52" t="str">
        <f>columnnames!K52 &amp; "(" &amp; datasample!K52 &amp; ")"</f>
        <v>start_lat(41.805772)</v>
      </c>
      <c r="L52" t="str">
        <f>columnnames!L52 &amp; "(" &amp; datasample!L52 &amp; ")"</f>
        <v>start_lng(-87.592464)</v>
      </c>
      <c r="M52" t="str">
        <f>columnnames!M52 &amp; "(" &amp; datasample!M52 &amp; ")"</f>
        <v>end_lat(41.805772)</v>
      </c>
      <c r="N52" t="str">
        <f>columnnames!N52 &amp; "(" &amp; datasample!N52 &amp; ")"</f>
        <v>end_lng(-87.592464)</v>
      </c>
      <c r="O52" s="2" t="str">
        <f>columnnames!O52 &amp; "(" &amp; datasample!O52 &amp; ")"</f>
        <v>member_casual(casual)</v>
      </c>
    </row>
    <row r="53" spans="1:15" x14ac:dyDescent="0.3">
      <c r="A53" t="s">
        <v>100</v>
      </c>
      <c r="B53" s="5" t="str">
        <f t="shared" si="1"/>
        <v>2021</v>
      </c>
      <c r="C53" t="str">
        <f>columnnames!C53 &amp; "(" &amp; datasample!C53 &amp; ")"</f>
        <v>ride_id(DD59FDCE0ACACAF3)</v>
      </c>
      <c r="D53" t="str">
        <f>columnnames!D53 &amp; "(" &amp; datasample!D53 &amp; ")"</f>
        <v>rideable_type(electric_bike)</v>
      </c>
      <c r="E53" s="3" t="str">
        <f>columnnames!E53 &amp; "(" &amp; datasample!E53 &amp; ")"</f>
        <v>started_at(2021-05-30 11:29:14)</v>
      </c>
      <c r="F53" s="3" t="str">
        <f>columnnames!F53 &amp; "(" &amp; datasample!F53 &amp; ")"</f>
        <v>ended_at(2021-05-30 12:14:09)</v>
      </c>
      <c r="G53" t="str">
        <f>columnnames!G53 &amp; "(" &amp; datasample!G53 &amp; ")"</f>
        <v>start_station_name()</v>
      </c>
      <c r="H53" t="str">
        <f>columnnames!H53 &amp; "(" &amp; datasample!H53 &amp; ")"</f>
        <v>start_station_id()</v>
      </c>
      <c r="I53" t="str">
        <f>columnnames!I53 &amp; "(" &amp; datasample!I53 &amp; ")"</f>
        <v>end_station_name()</v>
      </c>
      <c r="J53" t="str">
        <f>columnnames!J53 &amp; "(" &amp; datasample!J53 &amp; ")"</f>
        <v>end_station_id()</v>
      </c>
      <c r="K53" t="str">
        <f>columnnames!K53 &amp; "(" &amp; datasample!K53 &amp; ")"</f>
        <v>start_lat(41.88)</v>
      </c>
      <c r="L53" t="str">
        <f>columnnames!L53 &amp; "(" &amp; datasample!L53 &amp; ")"</f>
        <v>start_lng(-87.62)</v>
      </c>
      <c r="M53" t="str">
        <f>columnnames!M53 &amp; "(" &amp; datasample!M53 &amp; ")"</f>
        <v>end_lat(41.79)</v>
      </c>
      <c r="N53" t="str">
        <f>columnnames!N53 &amp; "(" &amp; datasample!N53 &amp; ")"</f>
        <v>end_lng(-87.58)</v>
      </c>
      <c r="O53" s="2" t="str">
        <f>columnnames!O53 &amp; "(" &amp; datasample!O53 &amp; ")"</f>
        <v>member_casual(casual)</v>
      </c>
    </row>
    <row r="54" spans="1:15" x14ac:dyDescent="0.3">
      <c r="A54" t="s">
        <v>96</v>
      </c>
      <c r="B54" s="5" t="str">
        <f t="shared" si="1"/>
        <v>2021</v>
      </c>
      <c r="C54" t="str">
        <f>columnnames!C54 &amp; "(" &amp; datasample!C54 &amp; ")"</f>
        <v>ride_id(06048DCFC8520CAF)</v>
      </c>
      <c r="D54" t="str">
        <f>columnnames!D54 &amp; "(" &amp; datasample!D54 &amp; ")"</f>
        <v>rideable_type(electric_bike)</v>
      </c>
      <c r="E54" s="3" t="str">
        <f>columnnames!E54 &amp; "(" &amp; datasample!E54 &amp; ")"</f>
        <v>started_at(2021-06-04 11:18:02)</v>
      </c>
      <c r="F54" s="3" t="str">
        <f>columnnames!F54 &amp; "(" &amp; datasample!F54 &amp; ")"</f>
        <v>ended_at(2021-06-04 11:24:19)</v>
      </c>
      <c r="G54" t="str">
        <f>columnnames!G54 &amp; "(" &amp; datasample!G54 &amp; ")"</f>
        <v>start_station_name()</v>
      </c>
      <c r="H54" t="str">
        <f>columnnames!H54 &amp; "(" &amp; datasample!H54 &amp; ")"</f>
        <v>start_station_id()</v>
      </c>
      <c r="I54" t="str">
        <f>columnnames!I54 &amp; "(" &amp; datasample!I54 &amp; ")"</f>
        <v>end_station_name()</v>
      </c>
      <c r="J54" t="str">
        <f>columnnames!J54 &amp; "(" &amp; datasample!J54 &amp; ")"</f>
        <v>end_station_id()</v>
      </c>
      <c r="K54" t="str">
        <f>columnnames!K54 &amp; "(" &amp; datasample!K54 &amp; ")"</f>
        <v>start_lat(41.79)</v>
      </c>
      <c r="L54" t="str">
        <f>columnnames!L54 &amp; "(" &amp; datasample!L54 &amp; ")"</f>
        <v>start_lng(-87.59)</v>
      </c>
      <c r="M54" t="str">
        <f>columnnames!M54 &amp; "(" &amp; datasample!M54 &amp; ")"</f>
        <v>end_lat(41.8)</v>
      </c>
      <c r="N54" t="str">
        <f>columnnames!N54 &amp; "(" &amp; datasample!N54 &amp; ")"</f>
        <v>end_lng(-87.6)</v>
      </c>
      <c r="O54" s="2" t="str">
        <f>columnnames!O54 &amp; "(" &amp; datasample!O54 &amp; ")"</f>
        <v>member_casual(member)</v>
      </c>
    </row>
    <row r="55" spans="1:15" x14ac:dyDescent="0.3">
      <c r="A55" t="s">
        <v>108</v>
      </c>
      <c r="B55" s="5" t="str">
        <f t="shared" si="1"/>
        <v>2021</v>
      </c>
      <c r="C55" t="str">
        <f>columnnames!C55 &amp; "(" &amp; datasample!C55 &amp; ")"</f>
        <v>ride_id(B2D5583A5A5E76EE)</v>
      </c>
      <c r="D55" t="str">
        <f>columnnames!D55 &amp; "(" &amp; datasample!D55 &amp; ")"</f>
        <v>rideable_type(classic_bike)</v>
      </c>
      <c r="E55" s="3" t="str">
        <f>columnnames!E55 &amp; "(" &amp; datasample!E55 &amp; ")"</f>
        <v>started_at(2021-07-07 16:57:42)</v>
      </c>
      <c r="F55" s="3" t="str">
        <f>columnnames!F55 &amp; "(" &amp; datasample!F55 &amp; ")"</f>
        <v>ended_at(2021-07-07 17:16:09)</v>
      </c>
      <c r="G55" t="str">
        <f>columnnames!G55 &amp; "(" &amp; datasample!G55 &amp; ")"</f>
        <v>start_station_name(California Ave &amp; Cortez St)</v>
      </c>
      <c r="H55" t="str">
        <f>columnnames!H55 &amp; "(" &amp; datasample!H55 &amp; ")"</f>
        <v>start_station_id(17660)</v>
      </c>
      <c r="I55" t="str">
        <f>columnnames!I55 &amp; "(" &amp; datasample!I55 &amp; ")"</f>
        <v>end_station_name(Wood St &amp; Hubbard St)</v>
      </c>
      <c r="J55" t="str">
        <f>columnnames!J55 &amp; "(" &amp; datasample!J55 &amp; ")"</f>
        <v>end_station_id(13432)</v>
      </c>
      <c r="K55" t="str">
        <f>columnnames!K55 &amp; "(" &amp; datasample!K55 &amp; ")"</f>
        <v>start_lat(41.900363)</v>
      </c>
      <c r="L55" t="str">
        <f>columnnames!L55 &amp; "(" &amp; datasample!L55 &amp; ")"</f>
        <v>start_lng(-87.696704)</v>
      </c>
      <c r="M55" t="str">
        <f>columnnames!M55 &amp; "(" &amp; datasample!M55 &amp; ")"</f>
        <v>end_lat(41.889899)</v>
      </c>
      <c r="N55" t="str">
        <f>columnnames!N55 &amp; "(" &amp; datasample!N55 &amp; ")"</f>
        <v>end_lng(-87.671473)</v>
      </c>
      <c r="O55" s="2" t="str">
        <f>columnnames!O55 &amp; "(" &amp; datasample!O55 &amp; ")"</f>
        <v>member_casual(casual)</v>
      </c>
    </row>
    <row r="56" spans="1:15" x14ac:dyDescent="0.3">
      <c r="A56" t="s">
        <v>160</v>
      </c>
      <c r="B56" s="5" t="str">
        <f t="shared" si="1"/>
        <v>2021</v>
      </c>
      <c r="C56" t="str">
        <f>columnnames!C56 &amp; "(" &amp; datasample!C56 &amp; ")"</f>
        <v>ride_id(EAFCCCFB0A3FC5A1)</v>
      </c>
      <c r="D56" t="str">
        <f>columnnames!D56 &amp; "(" &amp; datasample!D56 &amp; ")"</f>
        <v>rideable_type(electric_bike)</v>
      </c>
      <c r="E56" s="3" t="str">
        <f>columnnames!E56 &amp; "(" &amp; datasample!E56 &amp; ")"</f>
        <v>started_at(2021-08-10 17:23:14)</v>
      </c>
      <c r="F56" s="3" t="str">
        <f>columnnames!F56 &amp; "(" &amp; datasample!F56 &amp; ")"</f>
        <v>ended_at(2021-08-10 17:39:24)</v>
      </c>
      <c r="G56" t="str">
        <f>columnnames!G56 &amp; "(" &amp; datasample!G56 &amp; ")"</f>
        <v>start_station_name()</v>
      </c>
      <c r="H56" t="str">
        <f>columnnames!H56 &amp; "(" &amp; datasample!H56 &amp; ")"</f>
        <v>start_station_id()</v>
      </c>
      <c r="I56" t="str">
        <f>columnnames!I56 &amp; "(" &amp; datasample!I56 &amp; ")"</f>
        <v>end_station_name()</v>
      </c>
      <c r="J56" t="str">
        <f>columnnames!J56 &amp; "(" &amp; datasample!J56 &amp; ")"</f>
        <v>end_station_id()</v>
      </c>
      <c r="K56" t="str">
        <f>columnnames!K56 &amp; "(" &amp; datasample!K56 &amp; ")"</f>
        <v>start_lat(41.77)</v>
      </c>
      <c r="L56" t="str">
        <f>columnnames!L56 &amp; "(" &amp; datasample!L56 &amp; ")"</f>
        <v>start_lng(-87.68)</v>
      </c>
      <c r="M56" t="str">
        <f>columnnames!M56 &amp; "(" &amp; datasample!M56 &amp; ")"</f>
        <v>end_lat(41.77)</v>
      </c>
      <c r="N56" t="str">
        <f>columnnames!N56 &amp; "(" &amp; datasample!N56 &amp; ")"</f>
        <v>end_lng(-87.63)</v>
      </c>
      <c r="O56" s="2" t="str">
        <f>columnnames!O56 &amp; "(" &amp; datasample!O56 &amp; ")"</f>
        <v>member_casual(member)</v>
      </c>
    </row>
    <row r="57" spans="1:15" x14ac:dyDescent="0.3">
      <c r="A57" t="s">
        <v>165</v>
      </c>
      <c r="B57" s="5" t="str">
        <f t="shared" si="1"/>
        <v>2021</v>
      </c>
      <c r="C57" t="str">
        <f>columnnames!C57 &amp; "(" &amp; datasample!C57 &amp; ")"</f>
        <v>ride_id(F930E2C6872D6B32)</v>
      </c>
      <c r="D57" t="str">
        <f>columnnames!D57 &amp; "(" &amp; datasample!D57 &amp; ")"</f>
        <v>rideable_type(electric_bike)</v>
      </c>
      <c r="E57" s="3" t="str">
        <f>columnnames!E57 &amp; "(" &amp; datasample!E57 &amp; ")"</f>
        <v>started_at(2021-09-28 14:24:51)</v>
      </c>
      <c r="F57" s="3" t="str">
        <f>columnnames!F57 &amp; "(" &amp; datasample!F57 &amp; ")"</f>
        <v>ended_at(2021-09-28 14:40:05)</v>
      </c>
      <c r="G57" t="str">
        <f>columnnames!G57 &amp; "(" &amp; datasample!G57 &amp; ")"</f>
        <v>start_station_name()</v>
      </c>
      <c r="H57" t="str">
        <f>columnnames!H57 &amp; "(" &amp; datasample!H57 &amp; ")"</f>
        <v>start_station_id()</v>
      </c>
      <c r="I57" t="str">
        <f>columnnames!I57 &amp; "(" &amp; datasample!I57 &amp; ")"</f>
        <v>end_station_name()</v>
      </c>
      <c r="J57" t="str">
        <f>columnnames!J57 &amp; "(" &amp; datasample!J57 &amp; ")"</f>
        <v>end_station_id()</v>
      </c>
      <c r="K57" t="str">
        <f>columnnames!K57 &amp; "(" &amp; datasample!K57 &amp; ")"</f>
        <v>start_lat(41.94)</v>
      </c>
      <c r="L57" t="str">
        <f>columnnames!L57 &amp; "(" &amp; datasample!L57 &amp; ")"</f>
        <v>start_lng(-87.64)</v>
      </c>
      <c r="M57" t="str">
        <f>columnnames!M57 &amp; "(" &amp; datasample!M57 &amp; ")"</f>
        <v>end_lat(41.98)</v>
      </c>
      <c r="N57" t="str">
        <f>columnnames!N57 &amp; "(" &amp; datasample!N57 &amp; ")"</f>
        <v>end_lng(-87.67)</v>
      </c>
      <c r="O57" s="2" t="str">
        <f>columnnames!O57 &amp; "(" &amp; datasample!O57 &amp; ")"</f>
        <v>member_casual(casual)</v>
      </c>
    </row>
    <row r="58" spans="1:15" x14ac:dyDescent="0.3">
      <c r="A58" t="s">
        <v>162</v>
      </c>
      <c r="B58" s="5" t="str">
        <f t="shared" si="1"/>
        <v>2021</v>
      </c>
      <c r="C58" t="str">
        <f>columnnames!C58 &amp; "(" &amp; datasample!C58 &amp; ")"</f>
        <v>ride_id(4471C70731AB2E45)</v>
      </c>
      <c r="D58" t="str">
        <f>columnnames!D58 &amp; "(" &amp; datasample!D58 &amp; ")"</f>
        <v>rideable_type(electric_bike)</v>
      </c>
      <c r="E58" s="3" t="str">
        <f>columnnames!E58 &amp; "(" &amp; datasample!E58 &amp; ")"</f>
        <v>started_at(2021-10-21 09:12:37)</v>
      </c>
      <c r="F58" s="3" t="str">
        <f>columnnames!F58 &amp; "(" &amp; datasample!F58 &amp; ")"</f>
        <v>ended_at(2021-10-21 09:14:14)</v>
      </c>
      <c r="G58" t="str">
        <f>columnnames!G58 &amp; "(" &amp; datasample!G58 &amp; ")"</f>
        <v>start_station_name()</v>
      </c>
      <c r="H58" t="str">
        <f>columnnames!H58 &amp; "(" &amp; datasample!H58 &amp; ")"</f>
        <v>start_station_id()</v>
      </c>
      <c r="I58" t="str">
        <f>columnnames!I58 &amp; "(" &amp; datasample!I58 &amp; ")"</f>
        <v>end_station_name()</v>
      </c>
      <c r="J58" t="str">
        <f>columnnames!J58 &amp; "(" &amp; datasample!J58 &amp; ")"</f>
        <v>end_station_id()</v>
      </c>
      <c r="K58" t="str">
        <f>columnnames!K58 &amp; "(" &amp; datasample!K58 &amp; ")"</f>
        <v>start_lat(41.93)</v>
      </c>
      <c r="L58" t="str">
        <f>columnnames!L58 &amp; "(" &amp; datasample!L58 &amp; ")"</f>
        <v>start_lng(-87.7)</v>
      </c>
      <c r="M58" t="str">
        <f>columnnames!M58 &amp; "(" &amp; datasample!M58 &amp; ")"</f>
        <v>end_lat(41.93)</v>
      </c>
      <c r="N58" t="str">
        <f>columnnames!N58 &amp; "(" &amp; datasample!N58 &amp; ")"</f>
        <v>end_lng(-87.71)</v>
      </c>
      <c r="O58" s="2" t="str">
        <f>columnnames!O58 &amp; "(" &amp; datasample!O58 &amp; ")"</f>
        <v>member_casual(member)</v>
      </c>
    </row>
    <row r="59" spans="1:15" x14ac:dyDescent="0.3">
      <c r="A59" t="s">
        <v>124</v>
      </c>
      <c r="B59" s="5" t="str">
        <f t="shared" si="1"/>
        <v>2021</v>
      </c>
      <c r="C59" t="str">
        <f>columnnames!C59 &amp; "(" &amp; datasample!C59 &amp; ")"</f>
        <v>ride_id(90854840DFD508BA)</v>
      </c>
      <c r="D59" t="str">
        <f>columnnames!D59 &amp; "(" &amp; datasample!D59 &amp; ")"</f>
        <v>rideable_type(electric_bike)</v>
      </c>
      <c r="E59" s="3" t="str">
        <f>columnnames!E59 &amp; "(" &amp; datasample!E59 &amp; ")"</f>
        <v>started_at(2021-11-27 13:38:25)</v>
      </c>
      <c r="F59" s="3" t="str">
        <f>columnnames!F59 &amp; "(" &amp; datasample!F59 &amp; ")"</f>
        <v>ended_at(2021-11-27 13:56:10)</v>
      </c>
      <c r="G59" t="str">
        <f>columnnames!G59 &amp; "(" &amp; datasample!G59 &amp; ")"</f>
        <v>start_station_name()</v>
      </c>
      <c r="H59" t="str">
        <f>columnnames!H59 &amp; "(" &amp; datasample!H59 &amp; ")"</f>
        <v>start_station_id()</v>
      </c>
      <c r="I59" t="str">
        <f>columnnames!I59 &amp; "(" &amp; datasample!I59 &amp; ")"</f>
        <v>end_station_name()</v>
      </c>
      <c r="J59" t="str">
        <f>columnnames!J59 &amp; "(" &amp; datasample!J59 &amp; ")"</f>
        <v>end_station_id()</v>
      </c>
      <c r="K59" t="str">
        <f>columnnames!K59 &amp; "(" &amp; datasample!K59 &amp; ")"</f>
        <v>start_lat(41.96)</v>
      </c>
      <c r="L59" t="str">
        <f>columnnames!L59 &amp; "(" &amp; datasample!L59 &amp; ")"</f>
        <v>start_lng(-87.7)</v>
      </c>
      <c r="M59" t="str">
        <f>columnnames!M59 &amp; "(" &amp; datasample!M59 &amp; ")"</f>
        <v>end_lat(41.92)</v>
      </c>
      <c r="N59" t="str">
        <f>columnnames!N59 &amp; "(" &amp; datasample!N59 &amp; ")"</f>
        <v>end_lng(-87.7)</v>
      </c>
      <c r="O59" s="2" t="str">
        <f>columnnames!O59 &amp; "(" &amp; datasample!O59 &amp; ")"</f>
        <v>member_casual(casual)</v>
      </c>
    </row>
    <row r="60" spans="1:15" x14ac:dyDescent="0.3">
      <c r="A60" t="s">
        <v>174</v>
      </c>
      <c r="B60" s="5" t="str">
        <f t="shared" si="1"/>
        <v>2021</v>
      </c>
      <c r="C60" t="str">
        <f>columnnames!C60 &amp; "(" &amp; datasample!C60 &amp; ")"</f>
        <v>ride_id(73A77762838B32FD)</v>
      </c>
      <c r="D60" t="str">
        <f>columnnames!D60 &amp; "(" &amp; datasample!D60 &amp; ")"</f>
        <v>rideable_type(electric_bike)</v>
      </c>
      <c r="E60" s="3" t="str">
        <f>columnnames!E60 &amp; "(" &amp; datasample!E60 &amp; ")"</f>
        <v>started_at(2021-12-11 03:43:29)</v>
      </c>
      <c r="F60" s="3" t="str">
        <f>columnnames!F60 &amp; "(" &amp; datasample!F60 &amp; ")"</f>
        <v>ended_at(2021-12-11 04:10:23)</v>
      </c>
      <c r="G60" t="str">
        <f>columnnames!G60 &amp; "(" &amp; datasample!G60 &amp; ")"</f>
        <v>start_station_name(LaSalle Dr &amp; Huron St)</v>
      </c>
      <c r="H60" t="str">
        <f>columnnames!H60 &amp; "(" &amp; datasample!H60 &amp; ")"</f>
        <v>start_station_id(KP1705001026)</v>
      </c>
      <c r="I60" t="str">
        <f>columnnames!I60 &amp; "(" &amp; datasample!I60 &amp; ")"</f>
        <v>end_station_name(Clarendon Ave &amp; Leland Ave)</v>
      </c>
      <c r="J60" t="str">
        <f>columnnames!J60 &amp; "(" &amp; datasample!J60 &amp; ")"</f>
        <v>end_station_id(TA1307000119)</v>
      </c>
      <c r="K60" t="str">
        <f>columnnames!K60 &amp; "(" &amp; datasample!K60 &amp; ")"</f>
        <v>start_lat(41.8944051666667)</v>
      </c>
      <c r="L60" t="str">
        <f>columnnames!L60 &amp; "(" &amp; datasample!L60 &amp; ")"</f>
        <v>start_lng(-87.632331)</v>
      </c>
      <c r="M60" t="str">
        <f>columnnames!M60 &amp; "(" &amp; datasample!M60 &amp; ")"</f>
        <v>end_lat(41.967968)</v>
      </c>
      <c r="N60" t="str">
        <f>columnnames!N60 &amp; "(" &amp; datasample!N60 &amp; ")"</f>
        <v>end_lng(-87.650001)</v>
      </c>
      <c r="O60" s="2" t="str">
        <f>columnnames!O60 &amp; "(" &amp; datasample!O60 &amp; ")"</f>
        <v>member_casual(casual)</v>
      </c>
    </row>
    <row r="61" spans="1:15" x14ac:dyDescent="0.3">
      <c r="A61" t="s">
        <v>103</v>
      </c>
      <c r="B61" s="5" t="str">
        <f t="shared" si="1"/>
        <v>2022</v>
      </c>
      <c r="C61" t="str">
        <f>columnnames!C61 &amp; "(" &amp; datasample!C61 &amp; ")"</f>
        <v>ride_id(A6CF8980A652D272)</v>
      </c>
      <c r="D61" t="str">
        <f>columnnames!D61 &amp; "(" &amp; datasample!D61 &amp; ")"</f>
        <v>rideable_type(electric_bike)</v>
      </c>
      <c r="E61" s="3" t="str">
        <f>columnnames!E61 &amp; "(" &amp; datasample!E61 &amp; ")"</f>
        <v>started_at(2022-01-10 08:41:56)</v>
      </c>
      <c r="F61" s="3" t="str">
        <f>columnnames!F61 &amp; "(" &amp; datasample!F61 &amp; ")"</f>
        <v>ended_at(2022-01-10 08:46:17)</v>
      </c>
      <c r="G61" t="str">
        <f>columnnames!G61 &amp; "(" &amp; datasample!G61 &amp; ")"</f>
        <v>start_station_name(Glenwood Ave &amp; Touhy Ave)</v>
      </c>
      <c r="H61" t="str">
        <f>columnnames!H61 &amp; "(" &amp; datasample!H61 &amp; ")"</f>
        <v>start_station_id(525)</v>
      </c>
      <c r="I61" t="str">
        <f>columnnames!I61 &amp; "(" &amp; datasample!I61 &amp; ")"</f>
        <v>end_station_name(Clark St &amp; Touhy Ave)</v>
      </c>
      <c r="J61" t="str">
        <f>columnnames!J61 &amp; "(" &amp; datasample!J61 &amp; ")"</f>
        <v>end_station_id(RP-007)</v>
      </c>
      <c r="K61" t="str">
        <f>columnnames!K61 &amp; "(" &amp; datasample!K61 &amp; ")"</f>
        <v>start_lat(42.012763)</v>
      </c>
      <c r="L61" t="str">
        <f>columnnames!L61 &amp; "(" &amp; datasample!L61 &amp; ")"</f>
        <v>start_lng(-87.6659675)</v>
      </c>
      <c r="M61" t="str">
        <f>columnnames!M61 &amp; "(" &amp; datasample!M61 &amp; ")"</f>
        <v>end_lat(42.01256011541)</v>
      </c>
      <c r="N61" t="str">
        <f>columnnames!N61 &amp; "(" &amp; datasample!N61 &amp; ")"</f>
        <v>end_lng(-87.6743671152)</v>
      </c>
      <c r="O61" s="2" t="str">
        <f>columnnames!O61 &amp; "(" &amp; datasample!O61 &amp; ")"</f>
        <v>member_casual(casual)</v>
      </c>
    </row>
    <row r="62" spans="1:15" x14ac:dyDescent="0.3">
      <c r="A62" t="s">
        <v>95</v>
      </c>
      <c r="B62" s="5" t="str">
        <f t="shared" si="1"/>
        <v>2022</v>
      </c>
      <c r="C62" t="str">
        <f>columnnames!C62 &amp; "(" &amp; datasample!C62 &amp; ")"</f>
        <v>ride_id(1602DCDC5B30FFE3)</v>
      </c>
      <c r="D62" t="str">
        <f>columnnames!D62 &amp; "(" &amp; datasample!D62 &amp; ")"</f>
        <v>rideable_type(classic_bike)</v>
      </c>
      <c r="E62" s="3" t="str">
        <f>columnnames!E62 &amp; "(" &amp; datasample!E62 &amp; ")"</f>
        <v>started_at(2022-02-20 17:41:30)</v>
      </c>
      <c r="F62" s="3" t="str">
        <f>columnnames!F62 &amp; "(" &amp; datasample!F62 &amp; ")"</f>
        <v>ended_at(2022-02-20 17:45:56)</v>
      </c>
      <c r="G62" t="str">
        <f>columnnames!G62 &amp; "(" &amp; datasample!G62 &amp; ")"</f>
        <v>start_station_name(Halsted St &amp; Wrightwood Ave)</v>
      </c>
      <c r="H62" t="str">
        <f>columnnames!H62 &amp; "(" &amp; datasample!H62 &amp; ")"</f>
        <v>start_station_id(TA1309000061)</v>
      </c>
      <c r="I62" t="str">
        <f>columnnames!I62 &amp; "(" &amp; datasample!I62 &amp; ")"</f>
        <v>end_station_name(Southport Ave &amp; Wrightwood Ave)</v>
      </c>
      <c r="J62" t="str">
        <f>columnnames!J62 &amp; "(" &amp; datasample!J62 &amp; ")"</f>
        <v>end_station_id(TA1307000113)</v>
      </c>
      <c r="K62" t="str">
        <f>columnnames!K62 &amp; "(" &amp; datasample!K62 &amp; ")"</f>
        <v>start_lat(41.929143)</v>
      </c>
      <c r="L62" t="str">
        <f>columnnames!L62 &amp; "(" &amp; datasample!L62 &amp; ")"</f>
        <v>start_lng(-87.649077)</v>
      </c>
      <c r="M62" t="str">
        <f>columnnames!M62 &amp; "(" &amp; datasample!M62 &amp; ")"</f>
        <v>end_lat(41.928773)</v>
      </c>
      <c r="N62" t="str">
        <f>columnnames!N62 &amp; "(" &amp; datasample!N62 &amp; ")"</f>
        <v>end_lng(-87.663913)</v>
      </c>
      <c r="O62" s="2" t="str">
        <f>columnnames!O62 &amp; "(" &amp; datasample!O62 &amp; ")"</f>
        <v>member_casual(member)</v>
      </c>
    </row>
    <row r="63" spans="1:15" x14ac:dyDescent="0.3">
      <c r="A63" t="s">
        <v>104</v>
      </c>
      <c r="B63" s="5" t="str">
        <f t="shared" si="1"/>
        <v>2022</v>
      </c>
      <c r="C63" t="str">
        <f>columnnames!C63 &amp; "(" &amp; datasample!C63 &amp; ")"</f>
        <v>ride_id(8494861979B0F477)</v>
      </c>
      <c r="D63" t="str">
        <f>columnnames!D63 &amp; "(" &amp; datasample!D63 &amp; ")"</f>
        <v>rideable_type(electric_bike)</v>
      </c>
      <c r="E63" s="3" t="str">
        <f>columnnames!E63 &amp; "(" &amp; datasample!E63 &amp; ")"</f>
        <v>started_at(2022-03-16 09:37:16)</v>
      </c>
      <c r="F63" s="3" t="str">
        <f>columnnames!F63 &amp; "(" &amp; datasample!F63 &amp; ")"</f>
        <v>ended_at(2022-03-16 09:43:34)</v>
      </c>
      <c r="G63" t="str">
        <f>columnnames!G63 &amp; "(" &amp; datasample!G63 &amp; ")"</f>
        <v>start_station_name(Michigan Ave &amp; Oak St)</v>
      </c>
      <c r="H63" t="str">
        <f>columnnames!H63 &amp; "(" &amp; datasample!H63 &amp; ")"</f>
        <v>start_station_id(13042)</v>
      </c>
      <c r="I63" t="str">
        <f>columnnames!I63 &amp; "(" &amp; datasample!I63 &amp; ")"</f>
        <v>end_station_name(Orleans St &amp; Chestnut St (NEXT Apts))</v>
      </c>
      <c r="J63" t="str">
        <f>columnnames!J63 &amp; "(" &amp; datasample!J63 &amp; ")"</f>
        <v>end_station_id(620)</v>
      </c>
      <c r="K63" t="str">
        <f>columnnames!K63 &amp; "(" &amp; datasample!K63 &amp; ")"</f>
        <v>start_lat(41.9009976666667)</v>
      </c>
      <c r="L63" t="str">
        <f>columnnames!L63 &amp; "(" &amp; datasample!L63 &amp; ")"</f>
        <v>start_lng(-87.6237516666667)</v>
      </c>
      <c r="M63" t="str">
        <f>columnnames!M63 &amp; "(" &amp; datasample!M63 &amp; ")"</f>
        <v>end_lat(41.898203)</v>
      </c>
      <c r="N63" t="str">
        <f>columnnames!N63 &amp; "(" &amp; datasample!N63 &amp; ")"</f>
        <v>end_lng(-87.637536)</v>
      </c>
      <c r="O63" s="2" t="str">
        <f>columnnames!O63 &amp; "(" &amp; datasample!O63 &amp; ")"</f>
        <v>member_casual(member)</v>
      </c>
    </row>
    <row r="64" spans="1:15" x14ac:dyDescent="0.3">
      <c r="A64" t="s">
        <v>62</v>
      </c>
      <c r="B64" s="5" t="str">
        <f t="shared" si="1"/>
        <v>2022</v>
      </c>
      <c r="C64" t="str">
        <f>columnnames!C64 &amp; "(" &amp; datasample!C64 &amp; ")"</f>
        <v>ride_id(0B820C7FCF22F489)</v>
      </c>
      <c r="D64" t="str">
        <f>columnnames!D64 &amp; "(" &amp; datasample!D64 &amp; ")"</f>
        <v>rideable_type(classic_bike)</v>
      </c>
      <c r="E64" s="3" t="str">
        <f>columnnames!E64 &amp; "(" &amp; datasample!E64 &amp; ")"</f>
        <v>started_at(2022-04-24 19:23:07)</v>
      </c>
      <c r="F64" s="3" t="str">
        <f>columnnames!F64 &amp; "(" &amp; datasample!F64 &amp; ")"</f>
        <v>ended_at(2022-04-24 19:43:17)</v>
      </c>
      <c r="G64" t="str">
        <f>columnnames!G64 &amp; "(" &amp; datasample!G64 &amp; ")"</f>
        <v>start_station_name(Wentworth Ave &amp; Cermak Rd)</v>
      </c>
      <c r="H64" t="str">
        <f>columnnames!H64 &amp; "(" &amp; datasample!H64 &amp; ")"</f>
        <v>start_station_id(13075)</v>
      </c>
      <c r="I64" t="str">
        <f>columnnames!I64 &amp; "(" &amp; datasample!I64 &amp; ")"</f>
        <v>end_station_name(Green St &amp; Madison St)</v>
      </c>
      <c r="J64" t="str">
        <f>columnnames!J64 &amp; "(" &amp; datasample!J64 &amp; ")"</f>
        <v>end_station_id(TA1307000120)</v>
      </c>
      <c r="K64" t="str">
        <f>columnnames!K64 &amp; "(" &amp; datasample!K64 &amp; ")"</f>
        <v>start_lat(41.8530845574128)</v>
      </c>
      <c r="L64" t="str">
        <f>columnnames!L64 &amp; "(" &amp; datasample!L64 &amp; ")"</f>
        <v>start_lng(-87.6319313049316)</v>
      </c>
      <c r="M64" t="str">
        <f>columnnames!M64 &amp; "(" &amp; datasample!M64 &amp; ")"</f>
        <v>end_lat(41.881892)</v>
      </c>
      <c r="N64" t="str">
        <f>columnnames!N64 &amp; "(" &amp; datasample!N64 &amp; ")"</f>
        <v>end_lng(-87.648789)</v>
      </c>
      <c r="O64" s="2" t="str">
        <f>columnnames!O64 &amp; "(" &amp; datasample!O64 &amp; ")"</f>
        <v>member_casual(member)</v>
      </c>
    </row>
    <row r="65" spans="1:15" x14ac:dyDescent="0.3">
      <c r="A65" t="s">
        <v>134</v>
      </c>
      <c r="B65" s="5" t="str">
        <f t="shared" si="1"/>
        <v>2022</v>
      </c>
      <c r="C65" t="str">
        <f>columnnames!C65 &amp; "(" &amp; datasample!C65 &amp; ")"</f>
        <v>ride_id(1C31AD03897EE385)</v>
      </c>
      <c r="D65" t="str">
        <f>columnnames!D65 &amp; "(" &amp; datasample!D65 &amp; ")"</f>
        <v>rideable_type(classic_bike)</v>
      </c>
      <c r="E65" s="3" t="str">
        <f>columnnames!E65 &amp; "(" &amp; datasample!E65 &amp; ")"</f>
        <v>started_at(2022-05-11 08:53:28)</v>
      </c>
      <c r="F65" s="3" t="str">
        <f>columnnames!F65 &amp; "(" &amp; datasample!F65 &amp; ")"</f>
        <v>ended_at(2022-05-11 09:31:22)</v>
      </c>
      <c r="G65" t="str">
        <f>columnnames!G65 &amp; "(" &amp; datasample!G65 &amp; ")"</f>
        <v>start_station_name(DuSable Lake Shore Dr &amp; Monroe St)</v>
      </c>
      <c r="H65" t="str">
        <f>columnnames!H65 &amp; "(" &amp; datasample!H65 &amp; ")"</f>
        <v>start_station_id(13300)</v>
      </c>
      <c r="I65" t="str">
        <f>columnnames!I65 &amp; "(" &amp; datasample!I65 &amp; ")"</f>
        <v>end_station_name(Field Blvd &amp; South Water St)</v>
      </c>
      <c r="J65" t="str">
        <f>columnnames!J65 &amp; "(" &amp; datasample!J65 &amp; ")"</f>
        <v>end_station_id(15534)</v>
      </c>
      <c r="K65" t="str">
        <f>columnnames!K65 &amp; "(" &amp; datasample!K65 &amp; ")"</f>
        <v>start_lat(41.880958)</v>
      </c>
      <c r="L65" t="str">
        <f>columnnames!L65 &amp; "(" &amp; datasample!L65 &amp; ")"</f>
        <v>start_lng(-87.616743)</v>
      </c>
      <c r="M65" t="str">
        <f>columnnames!M65 &amp; "(" &amp; datasample!M65 &amp; ")"</f>
        <v>end_lat(41.88634906269)</v>
      </c>
      <c r="N65" t="str">
        <f>columnnames!N65 &amp; "(" &amp; datasample!N65 &amp; ")"</f>
        <v>end_lng(-87.6175165471)</v>
      </c>
      <c r="O65" s="2" t="str">
        <f>columnnames!O65 &amp; "(" &amp; datasample!O65 &amp; ")"</f>
        <v>member_casual(member)</v>
      </c>
    </row>
    <row r="66" spans="1:15" x14ac:dyDescent="0.3">
      <c r="A66" t="s">
        <v>105</v>
      </c>
      <c r="B66" s="5" t="str">
        <f t="shared" si="1"/>
        <v>2022</v>
      </c>
      <c r="C66" t="str">
        <f>columnnames!C66 &amp; "(" &amp; datasample!C66 &amp; ")"</f>
        <v>ride_id(F5E6B5C1682C6464)</v>
      </c>
      <c r="D66" t="str">
        <f>columnnames!D66 &amp; "(" &amp; datasample!D66 &amp; ")"</f>
        <v>rideable_type(electric_bike)</v>
      </c>
      <c r="E66" s="3" t="str">
        <f>columnnames!E66 &amp; "(" &amp; datasample!E66 &amp; ")"</f>
        <v>started_at(2022-06-30 18:39:52)</v>
      </c>
      <c r="F66" s="3" t="str">
        <f>columnnames!F66 &amp; "(" &amp; datasample!F66 &amp; ")"</f>
        <v>ended_at(2022-06-30 18:47:28)</v>
      </c>
      <c r="G66" t="str">
        <f>columnnames!G66 &amp; "(" &amp; datasample!G66 &amp; ")"</f>
        <v>start_station_name()</v>
      </c>
      <c r="H66" t="str">
        <f>columnnames!H66 &amp; "(" &amp; datasample!H66 &amp; ")"</f>
        <v>start_station_id()</v>
      </c>
      <c r="I66" t="str">
        <f>columnnames!I66 &amp; "(" &amp; datasample!I66 &amp; ")"</f>
        <v>end_station_name()</v>
      </c>
      <c r="J66" t="str">
        <f>columnnames!J66 &amp; "(" &amp; datasample!J66 &amp; ")"</f>
        <v>end_station_id()</v>
      </c>
      <c r="K66" t="str">
        <f>columnnames!K66 &amp; "(" &amp; datasample!K66 &amp; ")"</f>
        <v>start_lat(41.91)</v>
      </c>
      <c r="L66" t="str">
        <f>columnnames!L66 &amp; "(" &amp; datasample!L66 &amp; ")"</f>
        <v>start_lng(-87.62)</v>
      </c>
      <c r="M66" t="str">
        <f>columnnames!M66 &amp; "(" &amp; datasample!M66 &amp; ")"</f>
        <v>end_lat(41.93)</v>
      </c>
      <c r="N66" t="str">
        <f>columnnames!N66 &amp; "(" &amp; datasample!N66 &amp; ")"</f>
        <v>end_lng(-87.63)</v>
      </c>
      <c r="O66" s="2" t="str">
        <f>columnnames!O66 &amp; "(" &amp; datasample!O66 &amp; ")"</f>
        <v>member_casual(casual)</v>
      </c>
    </row>
    <row r="67" spans="1:15" x14ac:dyDescent="0.3">
      <c r="A67" t="s">
        <v>175</v>
      </c>
      <c r="B67" s="5" t="str">
        <f t="shared" si="1"/>
        <v>2022</v>
      </c>
      <c r="C67" t="str">
        <f>columnnames!C67 &amp; "(" &amp; datasample!C67 &amp; ")"</f>
        <v>ride_id(292E027607D218B6)</v>
      </c>
      <c r="D67" t="str">
        <f>columnnames!D67 &amp; "(" &amp; datasample!D67 &amp; ")"</f>
        <v>rideable_type(classic_bike)</v>
      </c>
      <c r="E67" s="3" t="str">
        <f>columnnames!E67 &amp; "(" &amp; datasample!E67 &amp; ")"</f>
        <v>started_at(2022-07-26 12:53:38)</v>
      </c>
      <c r="F67" s="3" t="str">
        <f>columnnames!F67 &amp; "(" &amp; datasample!F67 &amp; ")"</f>
        <v>ended_at(2022-07-26 12:55:31)</v>
      </c>
      <c r="G67" t="str">
        <f>columnnames!G67 &amp; "(" &amp; datasample!G67 &amp; ")"</f>
        <v>start_station_name(Buckingham Fountain (Temp))</v>
      </c>
      <c r="H67" t="str">
        <f>columnnames!H67 &amp; "(" &amp; datasample!H67 &amp; ")"</f>
        <v>start_station_id(15541)</v>
      </c>
      <c r="I67" t="str">
        <f>columnnames!I67 &amp; "(" &amp; datasample!I67 &amp; ")"</f>
        <v>end_station_name(Michigan Ave &amp; 8th St)</v>
      </c>
      <c r="J67" t="str">
        <f>columnnames!J67 &amp; "(" &amp; datasample!J67 &amp; ")"</f>
        <v>end_station_id(623)</v>
      </c>
      <c r="K67" t="str">
        <f>columnnames!K67 &amp; "(" &amp; datasample!K67 &amp; ")"</f>
        <v>start_lat(41.8696207474812)</v>
      </c>
      <c r="L67" t="str">
        <f>columnnames!L67 &amp; "(" &amp; datasample!L67 &amp; ")"</f>
        <v>start_lng(-87.6239812374115)</v>
      </c>
      <c r="M67" t="str">
        <f>columnnames!M67 &amp; "(" &amp; datasample!M67 &amp; ")"</f>
        <v>end_lat(41.872773)</v>
      </c>
      <c r="N67" t="str">
        <f>columnnames!N67 &amp; "(" &amp; datasample!N67 &amp; ")"</f>
        <v>end_lng(-87.623981)</v>
      </c>
      <c r="O67" s="2" t="str">
        <f>columnnames!O67 &amp; "(" &amp; datasample!O67 &amp; ")"</f>
        <v>member_casual(casual)</v>
      </c>
    </row>
    <row r="68" spans="1:15" x14ac:dyDescent="0.3">
      <c r="A68" t="s">
        <v>94</v>
      </c>
      <c r="B68" s="5" t="str">
        <f t="shared" si="1"/>
        <v>2022</v>
      </c>
      <c r="C68" t="str">
        <f>columnnames!C68 &amp; "(" &amp; datasample!C68 &amp; ")"</f>
        <v>ride_id(DAD198F405F9C5F5)</v>
      </c>
      <c r="D68" t="str">
        <f>columnnames!D68 &amp; "(" &amp; datasample!D68 &amp; ")"</f>
        <v>rideable_type(electric_bike)</v>
      </c>
      <c r="E68" s="3" t="str">
        <f>columnnames!E68 &amp; "(" &amp; datasample!E68 &amp; ")"</f>
        <v>started_at(2022-08-08 14:39:21)</v>
      </c>
      <c r="F68" s="3" t="str">
        <f>columnnames!F68 &amp; "(" &amp; datasample!F68 &amp; ")"</f>
        <v>ended_at(2022-08-08 14:53:23)</v>
      </c>
      <c r="G68" t="str">
        <f>columnnames!G68 &amp; "(" &amp; datasample!G68 &amp; ")"</f>
        <v>start_station_name()</v>
      </c>
      <c r="H68" t="str">
        <f>columnnames!H68 &amp; "(" &amp; datasample!H68 &amp; ")"</f>
        <v>start_station_id()</v>
      </c>
      <c r="I68" t="str">
        <f>columnnames!I68 &amp; "(" &amp; datasample!I68 &amp; ")"</f>
        <v>end_station_name()</v>
      </c>
      <c r="J68" t="str">
        <f>columnnames!J68 &amp; "(" &amp; datasample!J68 &amp; ")"</f>
        <v>end_station_id()</v>
      </c>
      <c r="K68" t="str">
        <f>columnnames!K68 &amp; "(" &amp; datasample!K68 &amp; ")"</f>
        <v>start_lat(41.89)</v>
      </c>
      <c r="L68" t="str">
        <f>columnnames!L68 &amp; "(" &amp; datasample!L68 &amp; ")"</f>
        <v>start_lng(-87.64)</v>
      </c>
      <c r="M68" t="str">
        <f>columnnames!M68 &amp; "(" &amp; datasample!M68 &amp; ")"</f>
        <v>end_lat(41.92)</v>
      </c>
      <c r="N68" t="str">
        <f>columnnames!N68 &amp; "(" &amp; datasample!N68 &amp; ")"</f>
        <v>end_lng(-87.64)</v>
      </c>
      <c r="O68" s="2" t="str">
        <f>columnnames!O68 &amp; "(" &amp; datasample!O68 &amp; ")"</f>
        <v>member_casual(casual)</v>
      </c>
    </row>
    <row r="69" spans="1:15" x14ac:dyDescent="0.3">
      <c r="A69" t="s">
        <v>110</v>
      </c>
      <c r="B69" s="5" t="str">
        <f t="shared" si="1"/>
        <v>2022</v>
      </c>
      <c r="C69" t="str">
        <f>columnnames!C69 &amp; "(" &amp; datasample!C69 &amp; ")"</f>
        <v>ride_id(E12D4A16BF51C274)</v>
      </c>
      <c r="D69" t="str">
        <f>columnnames!D69 &amp; "(" &amp; datasample!D69 &amp; ")"</f>
        <v>rideable_type(electric_bike)</v>
      </c>
      <c r="E69" s="3" t="str">
        <f>columnnames!E69 &amp; "(" &amp; datasample!E69 &amp; ")"</f>
        <v>started_at(2022-09-01 17:11:29)</v>
      </c>
      <c r="F69" s="3" t="str">
        <f>columnnames!F69 &amp; "(" &amp; datasample!F69 &amp; ")"</f>
        <v>ended_at(2022-09-01 17:14:45)</v>
      </c>
      <c r="G69" t="str">
        <f>columnnames!G69 &amp; "(" &amp; datasample!G69 &amp; ")"</f>
        <v>start_station_name()</v>
      </c>
      <c r="H69" t="str">
        <f>columnnames!H69 &amp; "(" &amp; datasample!H69 &amp; ")"</f>
        <v>start_station_id()</v>
      </c>
      <c r="I69" t="str">
        <f>columnnames!I69 &amp; "(" &amp; datasample!I69 &amp; ")"</f>
        <v>end_station_name()</v>
      </c>
      <c r="J69" t="str">
        <f>columnnames!J69 &amp; "(" &amp; datasample!J69 &amp; ")"</f>
        <v>end_station_id()</v>
      </c>
      <c r="K69" t="str">
        <f>columnnames!K69 &amp; "(" &amp; datasample!K69 &amp; ")"</f>
        <v>start_lat(41.87)</v>
      </c>
      <c r="L69" t="str">
        <f>columnnames!L69 &amp; "(" &amp; datasample!L69 &amp; ")"</f>
        <v>start_lng(-87.62)</v>
      </c>
      <c r="M69" t="str">
        <f>columnnames!M69 &amp; "(" &amp; datasample!M69 &amp; ")"</f>
        <v>end_lat(41.87)</v>
      </c>
      <c r="N69" t="str">
        <f>columnnames!N69 &amp; "(" &amp; datasample!N69 &amp; ")"</f>
        <v>end_lng(-87.62)</v>
      </c>
      <c r="O69" s="2" t="str">
        <f>columnnames!O69 &amp; "(" &amp; datasample!O69 &amp; ")"</f>
        <v>member_casual(casual)</v>
      </c>
    </row>
    <row r="70" spans="1:15" x14ac:dyDescent="0.3">
      <c r="A70" t="s">
        <v>164</v>
      </c>
      <c r="B70" s="5" t="str">
        <f t="shared" si="1"/>
        <v>2022</v>
      </c>
      <c r="C70" t="str">
        <f>columnnames!C70 &amp; "(" &amp; datasample!C70 &amp; ")"</f>
        <v>ride_id(DB692A70BD2DD4E3)</v>
      </c>
      <c r="D70" t="str">
        <f>columnnames!D70 &amp; "(" &amp; datasample!D70 &amp; ")"</f>
        <v>rideable_type(electric_bike)</v>
      </c>
      <c r="E70" s="3" t="str">
        <f>columnnames!E70 &amp; "(" &amp; datasample!E70 &amp; ")"</f>
        <v>started_at(2022-10-01 16:29:26)</v>
      </c>
      <c r="F70" s="3" t="str">
        <f>columnnames!F70 &amp; "(" &amp; datasample!F70 &amp; ")"</f>
        <v>ended_at(2022-10-01 16:49:06)</v>
      </c>
      <c r="G70" t="str">
        <f>columnnames!G70 &amp; "(" &amp; datasample!G70 &amp; ")"</f>
        <v>start_station_name(Damen Ave &amp; Charleston St)</v>
      </c>
      <c r="H70" t="str">
        <f>columnnames!H70 &amp; "(" &amp; datasample!H70 &amp; ")"</f>
        <v>start_station_id(13288)</v>
      </c>
      <c r="I70" t="str">
        <f>columnnames!I70 &amp; "(" &amp; datasample!I70 &amp; ")"</f>
        <v>end_station_name(Damen Ave &amp; Cullerton St)</v>
      </c>
      <c r="J70" t="str">
        <f>columnnames!J70 &amp; "(" &amp; datasample!J70 &amp; ")"</f>
        <v>end_station_id(13089)</v>
      </c>
      <c r="K70" t="str">
        <f>columnnames!K70 &amp; "(" &amp; datasample!K70 &amp; ")"</f>
        <v>start_lat(41.920037)</v>
      </c>
      <c r="L70" t="str">
        <f>columnnames!L70 &amp; "(" &amp; datasample!L70 &amp; ")"</f>
        <v>start_lng(-87.6779368333333)</v>
      </c>
      <c r="M70" t="str">
        <f>columnnames!M70 &amp; "(" &amp; datasample!M70 &amp; ")"</f>
        <v>end_lat(41.8549665187539)</v>
      </c>
      <c r="N70" t="str">
        <f>columnnames!N70 &amp; "(" &amp; datasample!N70 &amp; ")"</f>
        <v>end_lng(-87.6756995916366)</v>
      </c>
      <c r="O70" s="2" t="str">
        <f>columnnames!O70 &amp; "(" &amp; datasample!O70 &amp; ")"</f>
        <v>member_casual(casual)</v>
      </c>
    </row>
    <row r="71" spans="1:15" x14ac:dyDescent="0.3">
      <c r="A71" t="s">
        <v>133</v>
      </c>
      <c r="B71" s="5" t="str">
        <f t="shared" si="1"/>
        <v>2022</v>
      </c>
      <c r="C71" t="str">
        <f>columnnames!C71 &amp; "(" &amp; datasample!C71 &amp; ")"</f>
        <v>ride_id(772AB67E902C180F)</v>
      </c>
      <c r="D71" t="str">
        <f>columnnames!D71 &amp; "(" &amp; datasample!D71 &amp; ")"</f>
        <v>rideable_type(classic_bike)</v>
      </c>
      <c r="E71" s="3" t="str">
        <f>columnnames!E71 &amp; "(" &amp; datasample!E71 &amp; ")"</f>
        <v>started_at(2022-11-04 07:31:55)</v>
      </c>
      <c r="F71" s="3" t="str">
        <f>columnnames!F71 &amp; "(" &amp; datasample!F71 &amp; ")"</f>
        <v>ended_at(2022-11-04 07:46:25)</v>
      </c>
      <c r="G71" t="str">
        <f>columnnames!G71 &amp; "(" &amp; datasample!G71 &amp; ")"</f>
        <v>start_station_name(Canal St &amp; Adams St)</v>
      </c>
      <c r="H71" t="str">
        <f>columnnames!H71 &amp; "(" &amp; datasample!H71 &amp; ")"</f>
        <v>start_station_id(13011)</v>
      </c>
      <c r="I71" t="str">
        <f>columnnames!I71 &amp; "(" &amp; datasample!I71 &amp; ")"</f>
        <v>end_station_name(St. Clair St &amp; Erie St)</v>
      </c>
      <c r="J71" t="str">
        <f>columnnames!J71 &amp; "(" &amp; datasample!J71 &amp; ")"</f>
        <v>end_station_id(13016)</v>
      </c>
      <c r="K71" t="str">
        <f>columnnames!K71 &amp; "(" &amp; datasample!K71 &amp; ")"</f>
        <v>start_lat(41.879255)</v>
      </c>
      <c r="L71" t="str">
        <f>columnnames!L71 &amp; "(" &amp; datasample!L71 &amp; ")"</f>
        <v>start_lng(-87.639904)</v>
      </c>
      <c r="M71" t="str">
        <f>columnnames!M71 &amp; "(" &amp; datasample!M71 &amp; ")"</f>
        <v>end_lat(41.8943451374243)</v>
      </c>
      <c r="N71" t="str">
        <f>columnnames!N71 &amp; "(" &amp; datasample!N71 &amp; ")"</f>
        <v>end_lng(-87.6227983832359)</v>
      </c>
      <c r="O71" s="2" t="str">
        <f>columnnames!O71 &amp; "(" &amp; datasample!O71 &amp; ")"</f>
        <v>member_casual(member)</v>
      </c>
    </row>
    <row r="72" spans="1:15" x14ac:dyDescent="0.3">
      <c r="A72" t="s">
        <v>156</v>
      </c>
      <c r="B72" s="5" t="str">
        <f t="shared" si="1"/>
        <v>2022</v>
      </c>
      <c r="C72" t="str">
        <f>columnnames!C72 &amp; "(" &amp; datasample!C72 &amp; ")"</f>
        <v>ride_id(0C201AA7EA0EA1AD)</v>
      </c>
      <c r="D72" t="str">
        <f>columnnames!D72 &amp; "(" &amp; datasample!D72 &amp; ")"</f>
        <v>rideable_type(classic_bike)</v>
      </c>
      <c r="E72" s="3" t="str">
        <f>columnnames!E72 &amp; "(" &amp; datasample!E72 &amp; ")"</f>
        <v>started_at(2022-12-18 06:42:33)</v>
      </c>
      <c r="F72" s="3" t="str">
        <f>columnnames!F72 &amp; "(" &amp; datasample!F72 &amp; ")"</f>
        <v>ended_at(2022-12-18 07:08:44)</v>
      </c>
      <c r="G72" t="str">
        <f>columnnames!G72 &amp; "(" &amp; datasample!G72 &amp; ")"</f>
        <v>start_station_name(Broadway &amp; Belmont Ave)</v>
      </c>
      <c r="H72" t="str">
        <f>columnnames!H72 &amp; "(" &amp; datasample!H72 &amp; ")"</f>
        <v>start_station_id(13277)</v>
      </c>
      <c r="I72" t="str">
        <f>columnnames!I72 &amp; "(" &amp; datasample!I72 &amp; ")"</f>
        <v>end_station_name(Sedgwick St &amp; Webster Ave)</v>
      </c>
      <c r="J72" t="str">
        <f>columnnames!J72 &amp; "(" &amp; datasample!J72 &amp; ")"</f>
        <v>end_station_id(13191)</v>
      </c>
      <c r="K72" t="str">
        <f>columnnames!K72 &amp; "(" &amp; datasample!K72 &amp; ")"</f>
        <v>start_lat(41.940106)</v>
      </c>
      <c r="L72" t="str">
        <f>columnnames!L72 &amp; "(" &amp; datasample!L72 &amp; ")"</f>
        <v>start_lng(-87.645451)</v>
      </c>
      <c r="M72" t="str">
        <f>columnnames!M72 &amp; "(" &amp; datasample!M72 &amp; ")"</f>
        <v>end_lat(41.922167)</v>
      </c>
      <c r="N72" t="str">
        <f>columnnames!N72 &amp; "(" &amp; datasample!N72 &amp; ")"</f>
        <v>end_lng(-87.638888)</v>
      </c>
      <c r="O72" s="2" t="str">
        <f>columnnames!O72 &amp; "(" &amp; datasample!O72 &amp; ")"</f>
        <v>member_casual(casual)</v>
      </c>
    </row>
    <row r="73" spans="1:15" x14ac:dyDescent="0.3">
      <c r="A73" t="s">
        <v>67</v>
      </c>
      <c r="B73" s="5" t="str">
        <f t="shared" si="1"/>
        <v>2023</v>
      </c>
      <c r="C73" t="str">
        <f>columnnames!C73 &amp; "(" &amp; datasample!C73 &amp; ")"</f>
        <v>ride_id(13CB7EB698CEDB88)</v>
      </c>
      <c r="D73" t="str">
        <f>columnnames!D73 &amp; "(" &amp; datasample!D73 &amp; ")"</f>
        <v>rideable_type(classic_bike)</v>
      </c>
      <c r="E73" s="3" t="str">
        <f>columnnames!E73 &amp; "(" &amp; datasample!E73 &amp; ")"</f>
        <v>started_at(2023-01-10 15:37:36)</v>
      </c>
      <c r="F73" s="3" t="str">
        <f>columnnames!F73 &amp; "(" &amp; datasample!F73 &amp; ")"</f>
        <v>ended_at(2023-01-10 15:46:05)</v>
      </c>
      <c r="G73" t="str">
        <f>columnnames!G73 &amp; "(" &amp; datasample!G73 &amp; ")"</f>
        <v>start_station_name(Kimbark Ave &amp; 53rd St)</v>
      </c>
      <c r="H73" t="str">
        <f>columnnames!H73 &amp; "(" &amp; datasample!H73 &amp; ")"</f>
        <v>start_station_id(TA1309000037)</v>
      </c>
      <c r="I73" t="str">
        <f>columnnames!I73 &amp; "(" &amp; datasample!I73 &amp; ")"</f>
        <v>end_station_name(Greenwood Ave &amp; 47th St)</v>
      </c>
      <c r="J73" t="str">
        <f>columnnames!J73 &amp; "(" &amp; datasample!J73 &amp; ")"</f>
        <v>end_station_id(TA1308000002)</v>
      </c>
      <c r="K73" t="str">
        <f>columnnames!K73 &amp; "(" &amp; datasample!K73 &amp; ")"</f>
        <v>start_lat(41.799568)</v>
      </c>
      <c r="L73" t="str">
        <f>columnnames!L73 &amp; "(" &amp; datasample!L73 &amp; ")"</f>
        <v>start_lng(-87.594747)</v>
      </c>
      <c r="M73" t="str">
        <f>columnnames!M73 &amp; "(" &amp; datasample!M73 &amp; ")"</f>
        <v>end_lat(41.809835)</v>
      </c>
      <c r="N73" t="str">
        <f>columnnames!N73 &amp; "(" &amp; datasample!N73 &amp; ")"</f>
        <v>end_lng(-87.599383)</v>
      </c>
      <c r="O73" s="2" t="str">
        <f>columnnames!O73 &amp; "(" &amp; datasample!O73 &amp; ")"</f>
        <v>member_casual(member)</v>
      </c>
    </row>
    <row r="74" spans="1:15" x14ac:dyDescent="0.3">
      <c r="A74" t="s">
        <v>29</v>
      </c>
      <c r="B74" s="5" t="str">
        <f t="shared" si="1"/>
        <v>2023</v>
      </c>
      <c r="C74" t="str">
        <f>columnnames!C74 &amp; "(" &amp; datasample!C74 &amp; ")"</f>
        <v>ride_id(F3EC5FCE5FF39DE9)</v>
      </c>
      <c r="D74" t="str">
        <f>columnnames!D74 &amp; "(" &amp; datasample!D74 &amp; ")"</f>
        <v>rideable_type(electric_bike)</v>
      </c>
      <c r="E74" s="3" t="str">
        <f>columnnames!E74 &amp; "(" &amp; datasample!E74 &amp; ")"</f>
        <v>started_at(2023-02-15 13:53:48)</v>
      </c>
      <c r="F74" s="3" t="str">
        <f>columnnames!F74 &amp; "(" &amp; datasample!F74 &amp; ")"</f>
        <v>ended_at(2023-02-15 13:59:08)</v>
      </c>
      <c r="G74" t="str">
        <f>columnnames!G74 &amp; "(" &amp; datasample!G74 &amp; ")"</f>
        <v>start_station_name(Clarendon Ave &amp; Gordon Ter)</v>
      </c>
      <c r="H74" t="str">
        <f>columnnames!H74 &amp; "(" &amp; datasample!H74 &amp; ")"</f>
        <v>start_station_id(13379)</v>
      </c>
      <c r="I74" t="str">
        <f>columnnames!I74 &amp; "(" &amp; datasample!I74 &amp; ")"</f>
        <v>end_station_name(Sheridan Rd &amp; Lawrence Ave)</v>
      </c>
      <c r="J74" t="str">
        <f>columnnames!J74 &amp; "(" &amp; datasample!J74 &amp; ")"</f>
        <v>end_station_id(TA1309000041)</v>
      </c>
      <c r="K74" t="str">
        <f>columnnames!K74 &amp; "(" &amp; datasample!K74 &amp; ")"</f>
        <v>start_lat(41.957879424)</v>
      </c>
      <c r="L74" t="str">
        <f>columnnames!L74 &amp; "(" &amp; datasample!L74 &amp; ")"</f>
        <v>start_lng(-87.649583697)</v>
      </c>
      <c r="M74" t="str">
        <f>columnnames!M74 &amp; "(" &amp; datasample!M74 &amp; ")"</f>
        <v>end_lat(41.969517)</v>
      </c>
      <c r="N74" t="str">
        <f>columnnames!N74 &amp; "(" &amp; datasample!N74 &amp; ")"</f>
        <v>end_lng(-87.654691)</v>
      </c>
      <c r="O74" s="2" t="str">
        <f>columnnames!O74 &amp; "(" &amp; datasample!O74 &amp; ")"</f>
        <v>member_casual(casual)</v>
      </c>
    </row>
    <row r="75" spans="1:15" x14ac:dyDescent="0.3">
      <c r="A75" t="s">
        <v>30</v>
      </c>
      <c r="B75" s="5" t="str">
        <f t="shared" si="1"/>
        <v>2023</v>
      </c>
      <c r="C75" t="str">
        <f>columnnames!C75 &amp; "(" &amp; datasample!C75 &amp; ")"</f>
        <v>ride_id(F984267A75B99A8C)</v>
      </c>
      <c r="D75" t="str">
        <f>columnnames!D75 &amp; "(" &amp; datasample!D75 &amp; ")"</f>
        <v>rideable_type(electric_bike)</v>
      </c>
      <c r="E75" s="3" t="str">
        <f>columnnames!E75 &amp; "(" &amp; datasample!E75 &amp; ")"</f>
        <v>started_at(2023-03-04 14:07:06)</v>
      </c>
      <c r="F75" s="3" t="str">
        <f>columnnames!F75 &amp; "(" &amp; datasample!F75 &amp; ")"</f>
        <v>ended_at(2023-03-04 14:15:31)</v>
      </c>
      <c r="G75" t="str">
        <f>columnnames!G75 &amp; "(" &amp; datasample!G75 &amp; ")"</f>
        <v>start_station_name(Public Rack - Kedzie Ave &amp; Argyle St)</v>
      </c>
      <c r="H75" t="str">
        <f>columnnames!H75 &amp; "(" &amp; datasample!H75 &amp; ")"</f>
        <v>start_station_id(491)</v>
      </c>
      <c r="I75" t="str">
        <f>columnnames!I75 &amp; "(" &amp; datasample!I75 &amp; ")"</f>
        <v>end_station_name()</v>
      </c>
      <c r="J75" t="str">
        <f>columnnames!J75 &amp; "(" &amp; datasample!J75 &amp; ")"</f>
        <v>end_station_id()</v>
      </c>
      <c r="K75" t="str">
        <f>columnnames!K75 &amp; "(" &amp; datasample!K75 &amp; ")"</f>
        <v>start_lat(41.97)</v>
      </c>
      <c r="L75" t="str">
        <f>columnnames!L75 &amp; "(" &amp; datasample!L75 &amp; ")"</f>
        <v>start_lng(-87.71)</v>
      </c>
      <c r="M75" t="str">
        <f>columnnames!M75 &amp; "(" &amp; datasample!M75 &amp; ")"</f>
        <v>end_lat(41.95)</v>
      </c>
      <c r="N75" t="str">
        <f>columnnames!N75 &amp; "(" &amp; datasample!N75 &amp; ")"</f>
        <v>end_lng(-87.71)</v>
      </c>
      <c r="O75" s="2" t="str">
        <f>columnnames!O75 &amp; "(" &amp; datasample!O75 &amp; ")"</f>
        <v>member_casual(member)</v>
      </c>
    </row>
    <row r="76" spans="1:15" x14ac:dyDescent="0.3">
      <c r="A76" t="s">
        <v>163</v>
      </c>
      <c r="B76" s="5" t="str">
        <f t="shared" si="1"/>
        <v>2023</v>
      </c>
      <c r="C76" t="str">
        <f>columnnames!C76 &amp; "(" &amp; datasample!C76 &amp; ")"</f>
        <v>ride_id(34E4ED3ADF1D821B)</v>
      </c>
      <c r="D76" t="str">
        <f>columnnames!D76 &amp; "(" &amp; datasample!D76 &amp; ")"</f>
        <v>rideable_type(electric_bike)</v>
      </c>
      <c r="E76" s="3" t="str">
        <f>columnnames!E76 &amp; "(" &amp; datasample!E76 &amp; ")"</f>
        <v>started_at(2023-04-19 11:29:02)</v>
      </c>
      <c r="F76" s="3" t="str">
        <f>columnnames!F76 &amp; "(" &amp; datasample!F76 &amp; ")"</f>
        <v>ended_at(2023-04-19 11:52:12)</v>
      </c>
      <c r="G76" t="str">
        <f>columnnames!G76 &amp; "(" &amp; datasample!G76 &amp; ")"</f>
        <v>start_station_name()</v>
      </c>
      <c r="H76" t="str">
        <f>columnnames!H76 &amp; "(" &amp; datasample!H76 &amp; ")"</f>
        <v>start_station_id()</v>
      </c>
      <c r="I76" t="str">
        <f>columnnames!I76 &amp; "(" &amp; datasample!I76 &amp; ")"</f>
        <v>end_station_name()</v>
      </c>
      <c r="J76" t="str">
        <f>columnnames!J76 &amp; "(" &amp; datasample!J76 &amp; ")"</f>
        <v>end_station_id()</v>
      </c>
      <c r="K76" t="str">
        <f>columnnames!K76 &amp; "(" &amp; datasample!K76 &amp; ")"</f>
        <v>start_lat(41.87)</v>
      </c>
      <c r="L76" t="str">
        <f>columnnames!L76 &amp; "(" &amp; datasample!L76 &amp; ")"</f>
        <v>start_lng(-87.65)</v>
      </c>
      <c r="M76" t="str">
        <f>columnnames!M76 &amp; "(" &amp; datasample!M76 &amp; ")"</f>
        <v>end_lat(41.93)</v>
      </c>
      <c r="N76" t="str">
        <f>columnnames!N76 &amp; "(" &amp; datasample!N76 &amp; ")"</f>
        <v>end_lng(-87.68)</v>
      </c>
      <c r="O76" s="2" t="str">
        <f>columnnames!O76 &amp; "(" &amp; datasample!O76 &amp; ")"</f>
        <v>member_casual(member)</v>
      </c>
    </row>
    <row r="77" spans="1:15" x14ac:dyDescent="0.3">
      <c r="A77" t="s">
        <v>159</v>
      </c>
      <c r="B77" s="5" t="str">
        <f t="shared" si="1"/>
        <v>2023</v>
      </c>
      <c r="C77" t="str">
        <f>columnnames!C77 &amp; "(" &amp; datasample!C77 &amp; ")"</f>
        <v>ride_id(92485E5FB5888ACD)</v>
      </c>
      <c r="D77" t="str">
        <f>columnnames!D77 &amp; "(" &amp; datasample!D77 &amp; ")"</f>
        <v>rideable_type(electric_bike)</v>
      </c>
      <c r="E77" s="3" t="str">
        <f>columnnames!E77 &amp; "(" &amp; datasample!E77 &amp; ")"</f>
        <v>started_at(2023-05-06 18:54:08)</v>
      </c>
      <c r="F77" s="3" t="str">
        <f>columnnames!F77 &amp; "(" &amp; datasample!F77 &amp; ")"</f>
        <v>ended_at(2023-05-06 19:03:35)</v>
      </c>
      <c r="G77" t="str">
        <f>columnnames!G77 &amp; "(" &amp; datasample!G77 &amp; ")"</f>
        <v>start_station_name(Southport Ave &amp; Belmont Ave)</v>
      </c>
      <c r="H77" t="str">
        <f>columnnames!H77 &amp; "(" &amp; datasample!H77 &amp; ")"</f>
        <v>start_station_id(13229)</v>
      </c>
      <c r="I77" t="str">
        <f>columnnames!I77 &amp; "(" &amp; datasample!I77 &amp; ")"</f>
        <v>end_station_name()</v>
      </c>
      <c r="J77" t="str">
        <f>columnnames!J77 &amp; "(" &amp; datasample!J77 &amp; ")"</f>
        <v>end_station_id()</v>
      </c>
      <c r="K77" t="str">
        <f>columnnames!K77 &amp; "(" &amp; datasample!K77 &amp; ")"</f>
        <v>start_lat(41.939481854)</v>
      </c>
      <c r="L77" t="str">
        <f>columnnames!L77 &amp; "(" &amp; datasample!L77 &amp; ")"</f>
        <v>start_lng(-87.6638484)</v>
      </c>
      <c r="M77" t="str">
        <f>columnnames!M77 &amp; "(" &amp; datasample!M77 &amp; ")"</f>
        <v>end_lat(41.94)</v>
      </c>
      <c r="N77" t="str">
        <f>columnnames!N77 &amp; "(" &amp; datasample!N77 &amp; ")"</f>
        <v>end_lng(-87.69)</v>
      </c>
      <c r="O77" s="2" t="str">
        <f>columnnames!O77 &amp; "(" &amp; datasample!O77 &amp; ")"</f>
        <v>member_casual(member)</v>
      </c>
    </row>
    <row r="78" spans="1:15" x14ac:dyDescent="0.3">
      <c r="A78" t="s">
        <v>93</v>
      </c>
      <c r="B78" s="5" t="str">
        <f t="shared" si="1"/>
        <v>2023</v>
      </c>
      <c r="C78" t="str">
        <f>columnnames!C78 &amp; "(" &amp; datasample!C78 &amp; ")"</f>
        <v>ride_id(622A1686D64948EB)</v>
      </c>
      <c r="D78" t="str">
        <f>columnnames!D78 &amp; "(" &amp; datasample!D78 &amp; ")"</f>
        <v>rideable_type(electric_bike)</v>
      </c>
      <c r="E78" s="3" t="str">
        <f>columnnames!E78 &amp; "(" &amp; datasample!E78 &amp; ")"</f>
        <v>started_at(2023-06-05 01:30:22)</v>
      </c>
      <c r="F78" s="3" t="str">
        <f>columnnames!F78 &amp; "(" &amp; datasample!F78 &amp; ")"</f>
        <v>ended_at(2023-06-05 01:33:06)</v>
      </c>
      <c r="G78" t="str">
        <f>columnnames!G78 &amp; "(" &amp; datasample!G78 &amp; ")"</f>
        <v>start_station_name()</v>
      </c>
      <c r="H78" t="str">
        <f>columnnames!H78 &amp; "(" &amp; datasample!H78 &amp; ")"</f>
        <v>start_station_id()</v>
      </c>
      <c r="I78" t="str">
        <f>columnnames!I78 &amp; "(" &amp; datasample!I78 &amp; ")"</f>
        <v>end_station_name()</v>
      </c>
      <c r="J78" t="str">
        <f>columnnames!J78 &amp; "(" &amp; datasample!J78 &amp; ")"</f>
        <v>end_station_id()</v>
      </c>
      <c r="K78" t="str">
        <f>columnnames!K78 &amp; "(" &amp; datasample!K78 &amp; ")"</f>
        <v>start_lat(41.94)</v>
      </c>
      <c r="L78" t="str">
        <f>columnnames!L78 &amp; "(" &amp; datasample!L78 &amp; ")"</f>
        <v>start_lng(-87.65)</v>
      </c>
      <c r="M78" t="str">
        <f>columnnames!M78 &amp; "(" &amp; datasample!M78 &amp; ")"</f>
        <v>end_lat(41.94)</v>
      </c>
      <c r="N78" t="str">
        <f>columnnames!N78 &amp; "(" &amp; datasample!N78 &amp; ")"</f>
        <v>end_lng(-87.65)</v>
      </c>
      <c r="O78" s="2" t="str">
        <f>columnnames!O78 &amp; "(" &amp; datasample!O78 &amp; ")"</f>
        <v>member_casual(member)</v>
      </c>
    </row>
    <row r="79" spans="1:15" x14ac:dyDescent="0.3">
      <c r="A79" t="s">
        <v>132</v>
      </c>
      <c r="B79" s="5" t="str">
        <f t="shared" si="1"/>
        <v>2023</v>
      </c>
      <c r="C79" t="str">
        <f>columnnames!C79 &amp; "(" &amp; datasample!C79 &amp; ")"</f>
        <v>ride_id(D1460EE3CE0D8AF8)</v>
      </c>
      <c r="D79" t="str">
        <f>columnnames!D79 &amp; "(" &amp; datasample!D79 &amp; ")"</f>
        <v>rideable_type(classic_bike)</v>
      </c>
      <c r="E79" s="3" t="str">
        <f>columnnames!E79 &amp; "(" &amp; datasample!E79 &amp; ")"</f>
        <v>started_at(2023-07-23 17:05:07)</v>
      </c>
      <c r="F79" s="3" t="str">
        <f>columnnames!F79 &amp; "(" &amp; datasample!F79 &amp; ")"</f>
        <v>ended_at(2023-07-23 17:18:37)</v>
      </c>
      <c r="G79" t="str">
        <f>columnnames!G79 &amp; "(" &amp; datasample!G79 &amp; ")"</f>
        <v>start_station_name(Western Ave &amp; Walton St)</v>
      </c>
      <c r="H79" t="str">
        <f>columnnames!H79 &amp; "(" &amp; datasample!H79 &amp; ")"</f>
        <v>start_station_id(KA1504000103)</v>
      </c>
      <c r="I79" t="str">
        <f>columnnames!I79 &amp; "(" &amp; datasample!I79 &amp; ")"</f>
        <v>end_station_name(Milwaukee Ave &amp; Grand Ave)</v>
      </c>
      <c r="J79" t="str">
        <f>columnnames!J79 &amp; "(" &amp; datasample!J79 &amp; ")"</f>
        <v>end_station_id(13033)</v>
      </c>
      <c r="K79" t="str">
        <f>columnnames!K79 &amp; "(" &amp; datasample!K79 &amp; ")"</f>
        <v>start_lat(41.89841768945)</v>
      </c>
      <c r="L79" t="str">
        <f>columnnames!L79 &amp; "(" &amp; datasample!L79 &amp; ")"</f>
        <v>start_lng(-87.6865960164)</v>
      </c>
      <c r="M79" t="str">
        <f>columnnames!M79 &amp; "(" &amp; datasample!M79 &amp; ")"</f>
        <v>end_lat(41.891578)</v>
      </c>
      <c r="N79" t="str">
        <f>columnnames!N79 &amp; "(" &amp; datasample!N79 &amp; ")"</f>
        <v>end_lng(-87.648384)</v>
      </c>
      <c r="O79" s="2" t="str">
        <f>columnnames!O79 &amp; "(" &amp; datasample!O79 &amp; ")"</f>
        <v>member_casual(member)</v>
      </c>
    </row>
    <row r="80" spans="1:15" x14ac:dyDescent="0.3">
      <c r="A80" t="s">
        <v>64</v>
      </c>
      <c r="B80" s="5" t="str">
        <f t="shared" si="1"/>
        <v>2023</v>
      </c>
      <c r="C80" t="str">
        <f>columnnames!C80 &amp; "(" &amp; datasample!C80 &amp; ")"</f>
        <v>ride_id(F2FB18A98E110A2B)</v>
      </c>
      <c r="D80" t="str">
        <f>columnnames!D80 &amp; "(" &amp; datasample!D80 &amp; ")"</f>
        <v>rideable_type(electric_bike)</v>
      </c>
      <c r="E80" s="3" t="str">
        <f>columnnames!E80 &amp; "(" &amp; datasample!E80 &amp; ")"</f>
        <v>started_at(2023-08-18 15:30:18)</v>
      </c>
      <c r="F80" s="3" t="str">
        <f>columnnames!F80 &amp; "(" &amp; datasample!F80 &amp; ")"</f>
        <v>ended_at(2023-08-18 15:45:25)</v>
      </c>
      <c r="G80" t="str">
        <f>columnnames!G80 &amp; "(" &amp; datasample!G80 &amp; ")"</f>
        <v>start_station_name(Clark St &amp; Randolph St)</v>
      </c>
      <c r="H80" t="str">
        <f>columnnames!H80 &amp; "(" &amp; datasample!H80 &amp; ")"</f>
        <v>start_station_id(TA1305000030)</v>
      </c>
      <c r="I80" t="str">
        <f>columnnames!I80 &amp; "(" &amp; datasample!I80 &amp; ")"</f>
        <v>end_station_name()</v>
      </c>
      <c r="J80" t="str">
        <f>columnnames!J80 &amp; "(" &amp; datasample!J80 &amp; ")"</f>
        <v>end_station_id()</v>
      </c>
      <c r="K80" t="str">
        <f>columnnames!K80 &amp; "(" &amp; datasample!K80 &amp; ")"</f>
        <v>start_lat(41.8845113333333)</v>
      </c>
      <c r="L80" t="str">
        <f>columnnames!L80 &amp; "(" &amp; datasample!L80 &amp; ")"</f>
        <v>start_lng(-87.6315503333333)</v>
      </c>
      <c r="M80" t="str">
        <f>columnnames!M80 &amp; "(" &amp; datasample!M80 &amp; ")"</f>
        <v>end_lat(41.93)</v>
      </c>
      <c r="N80" t="str">
        <f>columnnames!N80 &amp; "(" &amp; datasample!N80 &amp; ")"</f>
        <v>end_lng(-87.64)</v>
      </c>
      <c r="O80" s="2" t="str">
        <f>columnnames!O80 &amp; "(" &amp; datasample!O80 &amp; ")"</f>
        <v>member_casual(member)</v>
      </c>
    </row>
    <row r="81" spans="1:15" x14ac:dyDescent="0.3">
      <c r="A81" t="s">
        <v>149</v>
      </c>
      <c r="B81" s="5" t="str">
        <f t="shared" ref="B81:B112" si="2">LEFT(A81, 4)</f>
        <v>2023</v>
      </c>
      <c r="C81" t="str">
        <f>columnnames!C81 &amp; "(" &amp; datasample!C81 &amp; ")"</f>
        <v>ride_id(87DB80E048A1BF9F)</v>
      </c>
      <c r="D81" t="str">
        <f>columnnames!D81 &amp; "(" &amp; datasample!D81 &amp; ")"</f>
        <v>rideable_type(classic_bike)</v>
      </c>
      <c r="E81" s="3" t="str">
        <f>columnnames!E81 &amp; "(" &amp; datasample!E81 &amp; ")"</f>
        <v>started_at(2023-09-02 09:26:43)</v>
      </c>
      <c r="F81" s="3" t="str">
        <f>columnnames!F81 &amp; "(" &amp; datasample!F81 &amp; ")"</f>
        <v>ended_at(2023-09-02 09:38:19)</v>
      </c>
      <c r="G81" t="str">
        <f>columnnames!G81 &amp; "(" &amp; datasample!G81 &amp; ")"</f>
        <v>start_station_name(Clark St &amp; Drummond Pl)</v>
      </c>
      <c r="H81" t="str">
        <f>columnnames!H81 &amp; "(" &amp; datasample!H81 &amp; ")"</f>
        <v>start_station_id(TA1307000142)</v>
      </c>
      <c r="I81" t="str">
        <f>columnnames!I81 &amp; "(" &amp; datasample!I81 &amp; ")"</f>
        <v>end_station_name(Racine Ave &amp; Fullerton Ave)</v>
      </c>
      <c r="J81" t="str">
        <f>columnnames!J81 &amp; "(" &amp; datasample!J81 &amp; ")"</f>
        <v>end_station_id(TA1306000026)</v>
      </c>
      <c r="K81" t="str">
        <f>columnnames!K81 &amp; "(" &amp; datasample!K81 &amp; ")"</f>
        <v>start_lat(41.931248)</v>
      </c>
      <c r="L81" t="str">
        <f>columnnames!L81 &amp; "(" &amp; datasample!L81 &amp; ")"</f>
        <v>start_lng(-87.644336)</v>
      </c>
      <c r="M81" t="str">
        <f>columnnames!M81 &amp; "(" &amp; datasample!M81 &amp; ")"</f>
        <v>end_lat(41.925566)</v>
      </c>
      <c r="N81" t="str">
        <f>columnnames!N81 &amp; "(" &amp; datasample!N81 &amp; ")"</f>
        <v>end_lng(-87.658416)</v>
      </c>
      <c r="O81" s="2" t="str">
        <f>columnnames!O81 &amp; "(" &amp; datasample!O81 &amp; ")"</f>
        <v>member_casual(member)</v>
      </c>
    </row>
    <row r="82" spans="1:15" x14ac:dyDescent="0.3">
      <c r="A82" t="s">
        <v>63</v>
      </c>
      <c r="B82" s="5" t="str">
        <f t="shared" si="2"/>
        <v>2023</v>
      </c>
      <c r="C82" t="str">
        <f>columnnames!C82 &amp; "(" &amp; datasample!C82 &amp; ")"</f>
        <v>ride_id(9CF060543CA7B439)</v>
      </c>
      <c r="D82" t="str">
        <f>columnnames!D82 &amp; "(" &amp; datasample!D82 &amp; ")"</f>
        <v>rideable_type(electric_bike)</v>
      </c>
      <c r="E82" s="3" t="str">
        <f>columnnames!E82 &amp; "(" &amp; datasample!E82 &amp; ")"</f>
        <v>started_at(2023-10-11 17:23:59)</v>
      </c>
      <c r="F82" s="3" t="str">
        <f>columnnames!F82 &amp; "(" &amp; datasample!F82 &amp; ")"</f>
        <v>ended_at(2023-10-11 17:36:08)</v>
      </c>
      <c r="G82" t="str">
        <f>columnnames!G82 &amp; "(" &amp; datasample!G82 &amp; ")"</f>
        <v>start_station_name(Desplaines St &amp; Kinzie St)</v>
      </c>
      <c r="H82" t="str">
        <f>columnnames!H82 &amp; "(" &amp; datasample!H82 &amp; ")"</f>
        <v>start_station_id(TA1306000003)</v>
      </c>
      <c r="I82" t="str">
        <f>columnnames!I82 &amp; "(" &amp; datasample!I82 &amp; ")"</f>
        <v>end_station_name(Sheffield Ave &amp; Webster Ave)</v>
      </c>
      <c r="J82" t="str">
        <f>columnnames!J82 &amp; "(" &amp; datasample!J82 &amp; ")"</f>
        <v>end_station_id(TA1309000033)</v>
      </c>
      <c r="K82" t="str">
        <f>columnnames!K82 &amp; "(" &amp; datasample!K82 &amp; ")"</f>
        <v>start_lat(41.888641)</v>
      </c>
      <c r="L82" t="str">
        <f>columnnames!L82 &amp; "(" &amp; datasample!L82 &amp; ")"</f>
        <v>start_lng(-87.644415)</v>
      </c>
      <c r="M82" t="str">
        <f>columnnames!M82 &amp; "(" &amp; datasample!M82 &amp; ")"</f>
        <v>end_lat(41.92154)</v>
      </c>
      <c r="N82" t="str">
        <f>columnnames!N82 &amp; "(" &amp; datasample!N82 &amp; ")"</f>
        <v>end_lng(-87.653818)</v>
      </c>
      <c r="O82" s="2" t="str">
        <f>columnnames!O82 &amp; "(" &amp; datasample!O82 &amp; ")"</f>
        <v>member_casual(member)</v>
      </c>
    </row>
    <row r="83" spans="1:15" x14ac:dyDescent="0.3">
      <c r="A83" t="s">
        <v>169</v>
      </c>
      <c r="B83" s="5" t="str">
        <f t="shared" si="2"/>
        <v>2023</v>
      </c>
      <c r="C83" t="str">
        <f>columnnames!C83 &amp; "(" &amp; datasample!C83 &amp; ")"</f>
        <v>ride_id(6322270563BF5470)</v>
      </c>
      <c r="D83" t="str">
        <f>columnnames!D83 &amp; "(" &amp; datasample!D83 &amp; ")"</f>
        <v>rideable_type(electric_bike)</v>
      </c>
      <c r="E83" s="3" t="str">
        <f>columnnames!E83 &amp; "(" &amp; datasample!E83 &amp; ")"</f>
        <v>started_at(2023-11-03 09:44:02)</v>
      </c>
      <c r="F83" s="3" t="str">
        <f>columnnames!F83 &amp; "(" &amp; datasample!F83 &amp; ")"</f>
        <v>ended_at(2023-11-03 10:17:15)</v>
      </c>
      <c r="G83" t="str">
        <f>columnnames!G83 &amp; "(" &amp; datasample!G83 &amp; ")"</f>
        <v>start_station_name(Broadway &amp; Sheridan Rd)</v>
      </c>
      <c r="H83" t="str">
        <f>columnnames!H83 &amp; "(" &amp; datasample!H83 &amp; ")"</f>
        <v>start_station_id(13323)</v>
      </c>
      <c r="I83" t="str">
        <f>columnnames!I83 &amp; "(" &amp; datasample!I83 &amp; ")"</f>
        <v>end_station_name(Broadway &amp; Sheridan Rd)</v>
      </c>
      <c r="J83" t="str">
        <f>columnnames!J83 &amp; "(" &amp; datasample!J83 &amp; ")"</f>
        <v>end_station_id(13323)</v>
      </c>
      <c r="K83" t="str">
        <f>columnnames!K83 &amp; "(" &amp; datasample!K83 &amp; ")"</f>
        <v>start_lat(41.952867866)</v>
      </c>
      <c r="L83" t="str">
        <f>columnnames!L83 &amp; "(" &amp; datasample!L83 &amp; ")"</f>
        <v>start_lng(-87.650034904)</v>
      </c>
      <c r="M83" t="str">
        <f>columnnames!M83 &amp; "(" &amp; datasample!M83 &amp; ")"</f>
        <v>end_lat(41.952833)</v>
      </c>
      <c r="N83" t="str">
        <f>columnnames!N83 &amp; "(" &amp; datasample!N83 &amp; ")"</f>
        <v>end_lng(-87.649993)</v>
      </c>
      <c r="O83" s="2" t="str">
        <f>columnnames!O83 &amp; "(" &amp; datasample!O83 &amp; ")"</f>
        <v>member_casual(member)</v>
      </c>
    </row>
    <row r="84" spans="1:15" x14ac:dyDescent="0.3">
      <c r="A84" t="s">
        <v>57</v>
      </c>
      <c r="B84" s="5" t="str">
        <f t="shared" si="2"/>
        <v>2023</v>
      </c>
      <c r="C84" t="str">
        <f>columnnames!C84 &amp; "(" &amp; datasample!C84 &amp; ")"</f>
        <v>ride_id(CDBD92F067FA620E)</v>
      </c>
      <c r="D84" t="str">
        <f>columnnames!D84 &amp; "(" &amp; datasample!D84 &amp; ")"</f>
        <v>rideable_type(electric_bike)</v>
      </c>
      <c r="E84" s="3" t="str">
        <f>columnnames!E84 &amp; "(" &amp; datasample!E84 &amp; ")"</f>
        <v>started_at(2023-12-02 18:48:19)</v>
      </c>
      <c r="F84" s="3" t="str">
        <f>columnnames!F84 &amp; "(" &amp; datasample!F84 &amp; ")"</f>
        <v>ended_at(2023-12-02 18:54:48)</v>
      </c>
      <c r="G84" t="str">
        <f>columnnames!G84 &amp; "(" &amp; datasample!G84 &amp; ")"</f>
        <v>start_station_name()</v>
      </c>
      <c r="H84" t="str">
        <f>columnnames!H84 &amp; "(" &amp; datasample!H84 &amp; ")"</f>
        <v>start_station_id()</v>
      </c>
      <c r="I84" t="str">
        <f>columnnames!I84 &amp; "(" &amp; datasample!I84 &amp; ")"</f>
        <v>end_station_name()</v>
      </c>
      <c r="J84" t="str">
        <f>columnnames!J84 &amp; "(" &amp; datasample!J84 &amp; ")"</f>
        <v>end_station_id()</v>
      </c>
      <c r="K84" t="str">
        <f>columnnames!K84 &amp; "(" &amp; datasample!K84 &amp; ")"</f>
        <v>start_lat(41.92)</v>
      </c>
      <c r="L84" t="str">
        <f>columnnames!L84 &amp; "(" &amp; datasample!L84 &amp; ")"</f>
        <v>start_lng(-87.66)</v>
      </c>
      <c r="M84" t="str">
        <f>columnnames!M84 &amp; "(" &amp; datasample!M84 &amp; ")"</f>
        <v>end_lat(41.89)</v>
      </c>
      <c r="N84" t="str">
        <f>columnnames!N84 &amp; "(" &amp; datasample!N84 &amp; ")"</f>
        <v>end_lng(-87.64)</v>
      </c>
      <c r="O84" s="2" t="str">
        <f>columnnames!O84 &amp; "(" &amp; datasample!O84 &amp; ")"</f>
        <v>member_casual(member)</v>
      </c>
    </row>
    <row r="85" spans="1:15" x14ac:dyDescent="0.3">
      <c r="A85" t="s">
        <v>68</v>
      </c>
      <c r="B85" s="5" t="str">
        <f t="shared" si="2"/>
        <v>2024</v>
      </c>
      <c r="C85" t="str">
        <f>columnnames!C85 &amp; "(" &amp; datasample!C85 &amp; ")"</f>
        <v>ride_id(EECD38BDB25BFCB0)</v>
      </c>
      <c r="D85" t="str">
        <f>columnnames!D85 &amp; "(" &amp; datasample!D85 &amp; ")"</f>
        <v>rideable_type(electric_bike)</v>
      </c>
      <c r="E85" s="3" t="str">
        <f>columnnames!E85 &amp; "(" &amp; datasample!E85 &amp; ")"</f>
        <v>started_at(2024-01-08 15:45:46)</v>
      </c>
      <c r="F85" s="3" t="str">
        <f>columnnames!F85 &amp; "(" &amp; datasample!F85 &amp; ")"</f>
        <v>ended_at(2024-01-08 15:52:59)</v>
      </c>
      <c r="G85" t="str">
        <f>columnnames!G85 &amp; "(" &amp; datasample!G85 &amp; ")"</f>
        <v>start_station_name(Wells St &amp; Elm St)</v>
      </c>
      <c r="H85" t="str">
        <f>columnnames!H85 &amp; "(" &amp; datasample!H85 &amp; ")"</f>
        <v>start_station_id(KA1504000135)</v>
      </c>
      <c r="I85" t="str">
        <f>columnnames!I85 &amp; "(" &amp; datasample!I85 &amp; ")"</f>
        <v>end_station_name(Kingsbury St &amp; Kinzie St)</v>
      </c>
      <c r="J85" t="str">
        <f>columnnames!J85 &amp; "(" &amp; datasample!J85 &amp; ")"</f>
        <v>end_station_id(KA1503000043)</v>
      </c>
      <c r="K85" t="str">
        <f>columnnames!K85 &amp; "(" &amp; datasample!K85 &amp; ")"</f>
        <v>start_lat(41.9029365)</v>
      </c>
      <c r="L85" t="str">
        <f>columnnames!L85 &amp; "(" &amp; datasample!L85 &amp; ")"</f>
        <v>start_lng(-87.6344401666667)</v>
      </c>
      <c r="M85" t="str">
        <f>columnnames!M85 &amp; "(" &amp; datasample!M85 &amp; ")"</f>
        <v>end_lat(41.88917683258)</v>
      </c>
      <c r="N85" t="str">
        <f>columnnames!N85 &amp; "(" &amp; datasample!N85 &amp; ")"</f>
        <v>end_lng(-87.6385057718)</v>
      </c>
      <c r="O85" s="2" t="str">
        <f>columnnames!O85 &amp; "(" &amp; datasample!O85 &amp; ")"</f>
        <v>member_casual(member)</v>
      </c>
    </row>
    <row r="86" spans="1:15" x14ac:dyDescent="0.3">
      <c r="A86" t="s">
        <v>135</v>
      </c>
      <c r="B86" s="5" t="str">
        <f t="shared" si="2"/>
        <v>2024</v>
      </c>
      <c r="C86" t="str">
        <f>columnnames!C86 &amp; "(" &amp; datasample!C86 &amp; ")"</f>
        <v>ride_id(7FB986AD5D3DE9D6)</v>
      </c>
      <c r="D86" t="str">
        <f>columnnames!D86 &amp; "(" &amp; datasample!D86 &amp; ")"</f>
        <v>rideable_type(classic_bike)</v>
      </c>
      <c r="E86" s="3" t="str">
        <f>columnnames!E86 &amp; "(" &amp; datasample!E86 &amp; ")"</f>
        <v>started_at(2024-02-05 21:10:06)</v>
      </c>
      <c r="F86" s="3" t="str">
        <f>columnnames!F86 &amp; "(" &amp; datasample!F86 &amp; ")"</f>
        <v>ended_at(2024-02-05 21:15:44)</v>
      </c>
      <c r="G86" t="str">
        <f>columnnames!G86 &amp; "(" &amp; datasample!G86 &amp; ")"</f>
        <v>start_station_name(Michigan Ave &amp; Washington St)</v>
      </c>
      <c r="H86" t="str">
        <f>columnnames!H86 &amp; "(" &amp; datasample!H86 &amp; ")"</f>
        <v>start_station_id(13001)</v>
      </c>
      <c r="I86" t="str">
        <f>columnnames!I86 &amp; "(" &amp; datasample!I86 &amp; ")"</f>
        <v>end_station_name(Wabash Ave &amp; Grand Ave)</v>
      </c>
      <c r="J86" t="str">
        <f>columnnames!J86 &amp; "(" &amp; datasample!J86 &amp; ")"</f>
        <v>end_station_id(TA1307000117)</v>
      </c>
      <c r="K86" t="str">
        <f>columnnames!K86 &amp; "(" &amp; datasample!K86 &amp; ")"</f>
        <v>start_lat(41.8839840647265)</v>
      </c>
      <c r="L86" t="str">
        <f>columnnames!L86 &amp; "(" &amp; datasample!L86 &amp; ")"</f>
        <v>start_lng(-87.6246839761734)</v>
      </c>
      <c r="M86" t="str">
        <f>columnnames!M86 &amp; "(" &amp; datasample!M86 &amp; ")"</f>
        <v>end_lat(41.891466)</v>
      </c>
      <c r="N86" t="str">
        <f>columnnames!N86 &amp; "(" &amp; datasample!N86 &amp; ")"</f>
        <v>end_lng(-87.626761)</v>
      </c>
      <c r="O86" s="2" t="str">
        <f>columnnames!O86 &amp; "(" &amp; datasample!O86 &amp; ")"</f>
        <v>member_casual(member)</v>
      </c>
    </row>
    <row r="87" spans="1:15" x14ac:dyDescent="0.3">
      <c r="A87" t="s">
        <v>154</v>
      </c>
      <c r="B87" s="5" t="str">
        <f t="shared" si="2"/>
        <v>2024</v>
      </c>
      <c r="C87" t="str">
        <f>columnnames!C87 &amp; "(" &amp; datasample!C87 &amp; ")"</f>
        <v>ride_id(9991629435C5E20E)</v>
      </c>
      <c r="D87" t="str">
        <f>columnnames!D87 &amp; "(" &amp; datasample!D87 &amp; ")"</f>
        <v>rideable_type(electric_bike)</v>
      </c>
      <c r="E87" s="3" t="str">
        <f>columnnames!E87 &amp; "(" &amp; datasample!E87 &amp; ")"</f>
        <v>started_at(2024-03-06 17:15:14)</v>
      </c>
      <c r="F87" s="3" t="str">
        <f>columnnames!F87 &amp; "(" &amp; datasample!F87 &amp; ")"</f>
        <v>ended_at(2024-03-06 17:16:04)</v>
      </c>
      <c r="G87" t="str">
        <f>columnnames!G87 &amp; "(" &amp; datasample!G87 &amp; ")"</f>
        <v>start_station_name()</v>
      </c>
      <c r="H87" t="str">
        <f>columnnames!H87 &amp; "(" &amp; datasample!H87 &amp; ")"</f>
        <v>start_station_id()</v>
      </c>
      <c r="I87" t="str">
        <f>columnnames!I87 &amp; "(" &amp; datasample!I87 &amp; ")"</f>
        <v>end_station_name()</v>
      </c>
      <c r="J87" t="str">
        <f>columnnames!J87 &amp; "(" &amp; datasample!J87 &amp; ")"</f>
        <v>end_station_id()</v>
      </c>
      <c r="K87" t="str">
        <f>columnnames!K87 &amp; "(" &amp; datasample!K87 &amp; ")"</f>
        <v>start_lat(41.91)</v>
      </c>
      <c r="L87" t="str">
        <f>columnnames!L87 &amp; "(" &amp; datasample!L87 &amp; ")"</f>
        <v>start_lng(-87.64)</v>
      </c>
      <c r="M87" t="str">
        <f>columnnames!M87 &amp; "(" &amp; datasample!M87 &amp; ")"</f>
        <v>end_lat(41.91)</v>
      </c>
      <c r="N87" t="str">
        <f>columnnames!N87 &amp; "(" &amp; datasample!N87 &amp; ")"</f>
        <v>end_lng(-87.64)</v>
      </c>
      <c r="O87" s="2" t="str">
        <f>columnnames!O87 &amp; "(" &amp; datasample!O87 &amp; ")"</f>
        <v>member_casual(member)</v>
      </c>
    </row>
    <row r="88" spans="1:15" x14ac:dyDescent="0.3">
      <c r="A88" t="s">
        <v>33</v>
      </c>
      <c r="B88" s="5" t="str">
        <f t="shared" si="2"/>
        <v>2024</v>
      </c>
      <c r="C88" t="str">
        <f>columnnames!C88 &amp; "(" &amp; datasample!C88 &amp; ")"</f>
        <v>ride_id(BE90D33D2240C614)</v>
      </c>
      <c r="D88" t="str">
        <f>columnnames!D88 &amp; "(" &amp; datasample!D88 &amp; ")"</f>
        <v>rideable_type(electric_bike)</v>
      </c>
      <c r="E88" s="3" t="str">
        <f>columnnames!E88 &amp; "(" &amp; datasample!E88 &amp; ")"</f>
        <v>started_at(2024-04-11 06:19:24)</v>
      </c>
      <c r="F88" s="3" t="str">
        <f>columnnames!F88 &amp; "(" &amp; datasample!F88 &amp; ")"</f>
        <v>ended_at(2024-04-11 06:22:21)</v>
      </c>
      <c r="G88" t="str">
        <f>columnnames!G88 &amp; "(" &amp; datasample!G88 &amp; ")"</f>
        <v>start_station_name(Aberdeen St &amp; Jackson Blvd)</v>
      </c>
      <c r="H88" t="str">
        <f>columnnames!H88 &amp; "(" &amp; datasample!H88 &amp; ")"</f>
        <v>start_station_id(13157)</v>
      </c>
      <c r="I88" t="str">
        <f>columnnames!I88 &amp; "(" &amp; datasample!I88 &amp; ")"</f>
        <v>end_station_name(Desplaines St &amp; Jackson Blvd)</v>
      </c>
      <c r="J88" t="str">
        <f>columnnames!J88 &amp; "(" &amp; datasample!J88 &amp; ")"</f>
        <v>end_station_id(15539)</v>
      </c>
      <c r="K88" t="str">
        <f>columnnames!K88 &amp; "(" &amp; datasample!K88 &amp; ")"</f>
        <v>start_lat(41.877721667)</v>
      </c>
      <c r="L88" t="str">
        <f>columnnames!L88 &amp; "(" &amp; datasample!L88 &amp; ")"</f>
        <v>start_lng(-87.654958963)</v>
      </c>
      <c r="M88" t="str">
        <f>columnnames!M88 &amp; "(" &amp; datasample!M88 &amp; ")"</f>
        <v>end_lat(41.8781189009123)</v>
      </c>
      <c r="N88" t="str">
        <f>columnnames!N88 &amp; "(" &amp; datasample!N88 &amp; ")"</f>
        <v>end_lng(-87.6439476013184)</v>
      </c>
      <c r="O88" s="2" t="str">
        <f>columnnames!O88 &amp; "(" &amp; datasample!O88 &amp; ")"</f>
        <v>member_casual(member)</v>
      </c>
    </row>
    <row r="89" spans="1:15" x14ac:dyDescent="0.3">
      <c r="A89" t="s">
        <v>58</v>
      </c>
      <c r="B89" s="5" t="str">
        <f t="shared" si="2"/>
        <v>2024</v>
      </c>
      <c r="C89" t="str">
        <f>columnnames!C89 &amp; "(" &amp; datasample!C89 &amp; ")"</f>
        <v>ride_id(02EC47687411416F)</v>
      </c>
      <c r="D89" t="str">
        <f>columnnames!D89 &amp; "(" &amp; datasample!D89 &amp; ")"</f>
        <v>rideable_type(classic_bike)</v>
      </c>
      <c r="E89" s="3" t="str">
        <f>columnnames!E89 &amp; "(" &amp; datasample!E89 &amp; ")"</f>
        <v>started_at(2024-05-14 15:11:51)</v>
      </c>
      <c r="F89" s="3" t="str">
        <f>columnnames!F89 &amp; "(" &amp; datasample!F89 &amp; ")"</f>
        <v>ended_at(2024-05-14 15:22:00)</v>
      </c>
      <c r="G89" t="str">
        <f>columnnames!G89 &amp; "(" &amp; datasample!G89 &amp; ")"</f>
        <v>start_station_name(Sheridan Rd &amp; Greenleaf Ave)</v>
      </c>
      <c r="H89" t="str">
        <f>columnnames!H89 &amp; "(" &amp; datasample!H89 &amp; ")"</f>
        <v>start_station_id(KA1504000159)</v>
      </c>
      <c r="I89" t="str">
        <f>columnnames!I89 &amp; "(" &amp; datasample!I89 &amp; ")"</f>
        <v>end_station_name(Sheridan Rd &amp; Loyola Ave)</v>
      </c>
      <c r="J89" t="str">
        <f>columnnames!J89 &amp; "(" &amp; datasample!J89 &amp; ")"</f>
        <v>end_station_id(RP-009)</v>
      </c>
      <c r="K89" t="str">
        <f>columnnames!K89 &amp; "(" &amp; datasample!K89 &amp; ")"</f>
        <v>start_lat(42.01058656284)</v>
      </c>
      <c r="L89" t="str">
        <f>columnnames!L89 &amp; "(" &amp; datasample!L89 &amp; ")"</f>
        <v>start_lng(-87.6624120948)</v>
      </c>
      <c r="M89" t="str">
        <f>columnnames!M89 &amp; "(" &amp; datasample!M89 &amp; ")"</f>
        <v>end_lat(42.00104377979)</v>
      </c>
      <c r="N89" t="str">
        <f>columnnames!N89 &amp; "(" &amp; datasample!N89 &amp; ")"</f>
        <v>end_lng(-87.6611982433)</v>
      </c>
      <c r="O89" s="2" t="str">
        <f>columnnames!O89 &amp; "(" &amp; datasample!O89 &amp; ")"</f>
        <v>member_casual(casual)</v>
      </c>
    </row>
    <row r="90" spans="1:15" x14ac:dyDescent="0.3">
      <c r="A90" t="s">
        <v>101</v>
      </c>
      <c r="B90" s="5" t="str">
        <f t="shared" si="2"/>
        <v>2024</v>
      </c>
      <c r="C90" t="str">
        <f>columnnames!C90 &amp; "(" &amp; datasample!C90 &amp; ")"</f>
        <v>ride_id(462B48CD292B6A18)</v>
      </c>
      <c r="D90" t="str">
        <f>columnnames!D90 &amp; "(" &amp; datasample!D90 &amp; ")"</f>
        <v>rideable_type(electric_bike)</v>
      </c>
      <c r="E90" s="3" t="str">
        <f>columnnames!E90 &amp; "(" &amp; datasample!E90 &amp; ")"</f>
        <v>started_at(2024-06-11 17:19:21.567)</v>
      </c>
      <c r="F90" s="3" t="str">
        <f>columnnames!F90 &amp; "(" &amp; datasample!F90 &amp; ")"</f>
        <v>ended_at(2024-06-11 17:19:36.377)</v>
      </c>
      <c r="G90" t="str">
        <f>columnnames!G90 &amp; "(" &amp; datasample!G90 &amp; ")"</f>
        <v>start_station_name()</v>
      </c>
      <c r="H90" t="str">
        <f>columnnames!H90 &amp; "(" &amp; datasample!H90 &amp; ")"</f>
        <v>start_station_id()</v>
      </c>
      <c r="I90" t="str">
        <f>columnnames!I90 &amp; "(" &amp; datasample!I90 &amp; ")"</f>
        <v>end_station_name()</v>
      </c>
      <c r="J90" t="str">
        <f>columnnames!J90 &amp; "(" &amp; datasample!J90 &amp; ")"</f>
        <v>end_station_id()</v>
      </c>
      <c r="K90" t="str">
        <f>columnnames!K90 &amp; "(" &amp; datasample!K90 &amp; ")"</f>
        <v>start_lat(41.89)</v>
      </c>
      <c r="L90" t="str">
        <f>columnnames!L90 &amp; "(" &amp; datasample!L90 &amp; ")"</f>
        <v>start_lng(-87.65)</v>
      </c>
      <c r="M90" t="str">
        <f>columnnames!M90 &amp; "(" &amp; datasample!M90 &amp; ")"</f>
        <v>end_lat(41.89)</v>
      </c>
      <c r="N90" t="str">
        <f>columnnames!N90 &amp; "(" &amp; datasample!N90 &amp; ")"</f>
        <v>end_lng(-87.65)</v>
      </c>
      <c r="O90" s="2" t="str">
        <f>columnnames!O90 &amp; "(" &amp; datasample!O90 &amp; ")"</f>
        <v>member_casual(casual)</v>
      </c>
    </row>
    <row r="91" spans="1:15" x14ac:dyDescent="0.3">
      <c r="A91" t="s">
        <v>107</v>
      </c>
      <c r="B91" s="5" t="str">
        <f t="shared" si="2"/>
        <v>2024</v>
      </c>
      <c r="C91" t="str">
        <f>columnnames!C91 &amp; "(" &amp; datasample!C91 &amp; ")"</f>
        <v>ride_id(B2176315168A47CE)</v>
      </c>
      <c r="D91" t="str">
        <f>columnnames!D91 &amp; "(" &amp; datasample!D91 &amp; ")"</f>
        <v>rideable_type(electric_bike)</v>
      </c>
      <c r="E91" s="3" t="str">
        <f>columnnames!E91 &amp; "(" &amp; datasample!E91 &amp; ")"</f>
        <v>started_at(2024-07-11 15:45:07.851)</v>
      </c>
      <c r="F91" s="3" t="str">
        <f>columnnames!F91 &amp; "(" &amp; datasample!F91 &amp; ")"</f>
        <v>ended_at(2024-07-11 16:06:04.243)</v>
      </c>
      <c r="G91" t="str">
        <f>columnnames!G91 &amp; "(" &amp; datasample!G91 &amp; ")"</f>
        <v>start_station_name()</v>
      </c>
      <c r="H91" t="str">
        <f>columnnames!H91 &amp; "(" &amp; datasample!H91 &amp; ")"</f>
        <v>start_station_id()</v>
      </c>
      <c r="I91" t="str">
        <f>columnnames!I91 &amp; "(" &amp; datasample!I91 &amp; ")"</f>
        <v>end_station_name()</v>
      </c>
      <c r="J91" t="str">
        <f>columnnames!J91 &amp; "(" &amp; datasample!J91 &amp; ")"</f>
        <v>end_station_id()</v>
      </c>
      <c r="K91" t="str">
        <f>columnnames!K91 &amp; "(" &amp; datasample!K91 &amp; ")"</f>
        <v>start_lat(41.79)</v>
      </c>
      <c r="L91" t="str">
        <f>columnnames!L91 &amp; "(" &amp; datasample!L91 &amp; ")"</f>
        <v>start_lng(-87.6)</v>
      </c>
      <c r="M91" t="str">
        <f>columnnames!M91 &amp; "(" &amp; datasample!M91 &amp; ")"</f>
        <v>end_lat(41.8)</v>
      </c>
      <c r="N91" t="str">
        <f>columnnames!N91 &amp; "(" &amp; datasample!N91 &amp; ")"</f>
        <v>end_lng(-87.59)</v>
      </c>
      <c r="O91" s="2" t="str">
        <f>columnnames!O91 &amp; "(" &amp; datasample!O91 &amp; ")"</f>
        <v>member_casual(casual)</v>
      </c>
    </row>
    <row r="92" spans="1:15" x14ac:dyDescent="0.3">
      <c r="A92" t="s">
        <v>92</v>
      </c>
      <c r="B92" s="5" t="str">
        <f t="shared" si="2"/>
        <v>2024</v>
      </c>
      <c r="C92" t="str">
        <f>columnnames!C92 &amp; "(" &amp; datasample!C92 &amp; ")"</f>
        <v>ride_id(8752245932EFF67A)</v>
      </c>
      <c r="D92" t="str">
        <f>columnnames!D92 &amp; "(" &amp; datasample!D92 &amp; ")"</f>
        <v>rideable_type(electric_bike)</v>
      </c>
      <c r="E92" s="3" t="str">
        <f>columnnames!E92 &amp; "(" &amp; datasample!E92 &amp; ")"</f>
        <v>started_at(2024-08-02 15:33:13.965)</v>
      </c>
      <c r="F92" s="3" t="str">
        <f>columnnames!F92 &amp; "(" &amp; datasample!F92 &amp; ")"</f>
        <v>ended_at(2024-08-02 15:55:23.865)</v>
      </c>
      <c r="G92" t="str">
        <f>columnnames!G92 &amp; "(" &amp; datasample!G92 &amp; ")"</f>
        <v>start_station_name(Franklin St &amp; Monroe St)</v>
      </c>
      <c r="H92" t="str">
        <f>columnnames!H92 &amp; "(" &amp; datasample!H92 &amp; ")"</f>
        <v>start_station_id(TA1309000007)</v>
      </c>
      <c r="I92" t="str">
        <f>columnnames!I92 &amp; "(" &amp; datasample!I92 &amp; ")"</f>
        <v>end_station_name(Damen Ave &amp; Cortland St)</v>
      </c>
      <c r="J92" t="str">
        <f>columnnames!J92 &amp; "(" &amp; datasample!J92 &amp; ")"</f>
        <v>end_station_id(13133)</v>
      </c>
      <c r="K92" t="str">
        <f>columnnames!K92 &amp; "(" &amp; datasample!K92 &amp; ")"</f>
        <v>start_lat(41.880317)</v>
      </c>
      <c r="L92" t="str">
        <f>columnnames!L92 &amp; "(" &amp; datasample!L92 &amp; ")"</f>
        <v>start_lng(-87.635185)</v>
      </c>
      <c r="M92" t="str">
        <f>columnnames!M92 &amp; "(" &amp; datasample!M92 &amp; ")"</f>
        <v>end_lat(41.915983)</v>
      </c>
      <c r="N92" t="str">
        <f>columnnames!N92 &amp; "(" &amp; datasample!N92 &amp; ")"</f>
        <v>end_lng(-87.677335)</v>
      </c>
      <c r="O92" s="2" t="str">
        <f>columnnames!O92 &amp; "(" &amp; datasample!O92 &amp; ")"</f>
        <v>member_casual(member)</v>
      </c>
    </row>
    <row r="93" spans="1:15" x14ac:dyDescent="0.3">
      <c r="A93" t="s">
        <v>151</v>
      </c>
      <c r="B93" s="5" t="str">
        <f t="shared" si="2"/>
        <v>2024</v>
      </c>
      <c r="C93" t="str">
        <f>columnnames!C93 &amp; "(" &amp; datasample!C93 &amp; ")"</f>
        <v>ride_id(67CB39987F4E895B)</v>
      </c>
      <c r="D93" t="str">
        <f>columnnames!D93 &amp; "(" &amp; datasample!D93 &amp; ")"</f>
        <v>rideable_type(electric_bike)</v>
      </c>
      <c r="E93" s="3" t="str">
        <f>columnnames!E93 &amp; "(" &amp; datasample!E93 &amp; ")"</f>
        <v>started_at(2024-09-26 15:31:32.529)</v>
      </c>
      <c r="F93" s="3" t="str">
        <f>columnnames!F93 &amp; "(" &amp; datasample!F93 &amp; ")"</f>
        <v>ended_at(2024-09-26 15:53:13.501)</v>
      </c>
      <c r="G93" t="str">
        <f>columnnames!G93 &amp; "(" &amp; datasample!G93 &amp; ")"</f>
        <v>start_station_name()</v>
      </c>
      <c r="H93" t="str">
        <f>columnnames!H93 &amp; "(" &amp; datasample!H93 &amp; ")"</f>
        <v>start_station_id()</v>
      </c>
      <c r="I93" t="str">
        <f>columnnames!I93 &amp; "(" &amp; datasample!I93 &amp; ")"</f>
        <v>end_station_name()</v>
      </c>
      <c r="J93" t="str">
        <f>columnnames!J93 &amp; "(" &amp; datasample!J93 &amp; ")"</f>
        <v>end_station_id()</v>
      </c>
      <c r="K93" t="str">
        <f>columnnames!K93 &amp; "(" &amp; datasample!K93 &amp; ")"</f>
        <v>start_lat(41.91)</v>
      </c>
      <c r="L93" t="str">
        <f>columnnames!L93 &amp; "(" &amp; datasample!L93 &amp; ")"</f>
        <v>start_lng(-87.63)</v>
      </c>
      <c r="M93" t="str">
        <f>columnnames!M93 &amp; "(" &amp; datasample!M93 &amp; ")"</f>
        <v>end_lat(41.91)</v>
      </c>
      <c r="N93" t="str">
        <f>columnnames!N93 &amp; "(" &amp; datasample!N93 &amp; ")"</f>
        <v>end_lng(-87.63)</v>
      </c>
      <c r="O93" s="2" t="str">
        <f>columnnames!O93 &amp; "(" &amp; datasample!O93 &amp; ")"</f>
        <v>member_casual(member)</v>
      </c>
    </row>
    <row r="94" spans="1:15" x14ac:dyDescent="0.3">
      <c r="A94" t="s">
        <v>131</v>
      </c>
      <c r="B94" s="5" t="str">
        <f t="shared" si="2"/>
        <v>2024</v>
      </c>
      <c r="C94" t="str">
        <f>columnnames!C94 &amp; "(" &amp; datasample!C94 &amp; ")"</f>
        <v>ride_id(19DB722B44CBE82F)</v>
      </c>
      <c r="D94" t="str">
        <f>columnnames!D94 &amp; "(" &amp; datasample!D94 &amp; ")"</f>
        <v>rideable_type(electric_bike)</v>
      </c>
      <c r="E94" s="3" t="str">
        <f>columnnames!E94 &amp; "(" &amp; datasample!E94 &amp; ")"</f>
        <v>started_at(2024-10-13 19:33:38.926)</v>
      </c>
      <c r="F94" s="3" t="str">
        <f>columnnames!F94 &amp; "(" &amp; datasample!F94 &amp; ")"</f>
        <v>ended_at(2024-10-13 19:39:04.490)</v>
      </c>
      <c r="G94" t="str">
        <f>columnnames!G94 &amp; "(" &amp; datasample!G94 &amp; ")"</f>
        <v>start_station_name()</v>
      </c>
      <c r="H94" t="str">
        <f>columnnames!H94 &amp; "(" &amp; datasample!H94 &amp; ")"</f>
        <v>start_station_id()</v>
      </c>
      <c r="I94" t="str">
        <f>columnnames!I94 &amp; "(" &amp; datasample!I94 &amp; ")"</f>
        <v>end_station_name()</v>
      </c>
      <c r="J94" t="str">
        <f>columnnames!J94 &amp; "(" &amp; datasample!J94 &amp; ")"</f>
        <v>end_station_id()</v>
      </c>
      <c r="K94" t="str">
        <f>columnnames!K94 &amp; "(" &amp; datasample!K94 &amp; ")"</f>
        <v>start_lat(41.98)</v>
      </c>
      <c r="L94" t="str">
        <f>columnnames!L94 &amp; "(" &amp; datasample!L94 &amp; ")"</f>
        <v>start_lng(-87.67)</v>
      </c>
      <c r="M94" t="str">
        <f>columnnames!M94 &amp; "(" &amp; datasample!M94 &amp; ")"</f>
        <v>end_lat(41.97)</v>
      </c>
      <c r="N94" t="str">
        <f>columnnames!N94 &amp; "(" &amp; datasample!N94 &amp; ")"</f>
        <v>end_lng(-87.66)</v>
      </c>
      <c r="O94" s="2" t="str">
        <f>columnnames!O94 &amp; "(" &amp; datasample!O94 &amp; ")"</f>
        <v>member_casual(member)</v>
      </c>
    </row>
    <row r="95" spans="1:15" x14ac:dyDescent="0.3">
      <c r="A95" t="s">
        <v>111</v>
      </c>
      <c r="B95" s="5" t="str">
        <f t="shared" si="2"/>
        <v>2024</v>
      </c>
      <c r="C95" t="str">
        <f>columnnames!C95 &amp; "(" &amp; datasample!C95 &amp; ")"</f>
        <v>ride_id(78B141C50102ABA6)</v>
      </c>
      <c r="D95" t="str">
        <f>columnnames!D95 &amp; "(" &amp; datasample!D95 &amp; ")"</f>
        <v>rideable_type(classic_bike)</v>
      </c>
      <c r="E95" s="3" t="str">
        <f>columnnames!E95 &amp; "(" &amp; datasample!E95 &amp; ")"</f>
        <v>started_at(2024-11-22 14:49:00.431)</v>
      </c>
      <c r="F95" s="3" t="str">
        <f>columnnames!F95 &amp; "(" &amp; datasample!F95 &amp; ")"</f>
        <v>ended_at(2024-11-22 14:56:15.475)</v>
      </c>
      <c r="G95" t="str">
        <f>columnnames!G95 &amp; "(" &amp; datasample!G95 &amp; ")"</f>
        <v>start_station_name(Walsh Park)</v>
      </c>
      <c r="H95" t="str">
        <f>columnnames!H95 &amp; "(" &amp; datasample!H95 &amp; ")"</f>
        <v>start_station_id(18067)</v>
      </c>
      <c r="I95" t="str">
        <f>columnnames!I95 &amp; "(" &amp; datasample!I95 &amp; ")"</f>
        <v>end_station_name(Leavitt St &amp; Armitage Ave)</v>
      </c>
      <c r="J95" t="str">
        <f>columnnames!J95 &amp; "(" &amp; datasample!J95 &amp; ")"</f>
        <v>end_station_id(TA1309000029)</v>
      </c>
      <c r="K95" t="str">
        <f>columnnames!K95 &amp; "(" &amp; datasample!K95 &amp; ")"</f>
        <v>start_lat(41.91461)</v>
      </c>
      <c r="L95" t="str">
        <f>columnnames!L95 &amp; "(" &amp; datasample!L95 &amp; ")"</f>
        <v>start_lng(-87.667968)</v>
      </c>
      <c r="M95" t="str">
        <f>columnnames!M95 &amp; "(" &amp; datasample!M95 &amp; ")"</f>
        <v>end_lat(41.917805)</v>
      </c>
      <c r="N95" t="str">
        <f>columnnames!N95 &amp; "(" &amp; datasample!N95 &amp; ")"</f>
        <v>end_lng(-87.682437)</v>
      </c>
      <c r="O95" s="2" t="str">
        <f>columnnames!O95 &amp; "(" &amp; datasample!O95 &amp; ")"</f>
        <v>member_casual(member)</v>
      </c>
    </row>
    <row r="96" spans="1:15" x14ac:dyDescent="0.3">
      <c r="A96" t="s">
        <v>123</v>
      </c>
      <c r="B96" s="5" t="str">
        <f t="shared" si="2"/>
        <v>2024</v>
      </c>
      <c r="C96" t="str">
        <f>columnnames!C96 &amp; "(" &amp; datasample!C96 &amp; ")"</f>
        <v>ride_id(C0913EEB2834E7A2)</v>
      </c>
      <c r="D96" t="str">
        <f>columnnames!D96 &amp; "(" &amp; datasample!D96 &amp; ")"</f>
        <v>rideable_type(classic_bike)</v>
      </c>
      <c r="E96" s="3" t="str">
        <f>columnnames!E96 &amp; "(" &amp; datasample!E96 &amp; ")"</f>
        <v>started_at(2024-12-21 18:41:26.478)</v>
      </c>
      <c r="F96" s="3" t="str">
        <f>columnnames!F96 &amp; "(" &amp; datasample!F96 &amp; ")"</f>
        <v>ended_at(2024-12-21 18:47:33.871)</v>
      </c>
      <c r="G96" t="str">
        <f>columnnames!G96 &amp; "(" &amp; datasample!G96 &amp; ")"</f>
        <v>start_station_name(Clark St &amp; Wellington Ave)</v>
      </c>
      <c r="H96" t="str">
        <f>columnnames!H96 &amp; "(" &amp; datasample!H96 &amp; ")"</f>
        <v>start_station_id(TA1307000136)</v>
      </c>
      <c r="I96" t="str">
        <f>columnnames!I96 &amp; "(" &amp; datasample!I96 &amp; ")"</f>
        <v>end_station_name(Halsted St &amp; Roscoe St)</v>
      </c>
      <c r="J96" t="str">
        <f>columnnames!J96 &amp; "(" &amp; datasample!J96 &amp; ")"</f>
        <v>end_station_id(TA1309000025)</v>
      </c>
      <c r="K96" t="str">
        <f>columnnames!K96 &amp; "(" &amp; datasample!K96 &amp; ")"</f>
        <v>start_lat(41.9364968219)</v>
      </c>
      <c r="L96" t="str">
        <f>columnnames!L96 &amp; "(" &amp; datasample!L96 &amp; ")"</f>
        <v>start_lng(-87.6475386582)</v>
      </c>
      <c r="M96" t="str">
        <f>columnnames!M96 &amp; "(" &amp; datasample!M96 &amp; ")"</f>
        <v>end_lat(41.9436315)</v>
      </c>
      <c r="N96" t="str">
        <f>columnnames!N96 &amp; "(" &amp; datasample!N96 &amp; ")"</f>
        <v>end_lng(-87.6490833)</v>
      </c>
      <c r="O96" s="2" t="str">
        <f>columnnames!O96 &amp; "(" &amp; datasample!O96 &amp; ")"</f>
        <v>member_casual(member)</v>
      </c>
    </row>
    <row r="97" spans="1:15" x14ac:dyDescent="0.3">
      <c r="A97" t="s">
        <v>130</v>
      </c>
      <c r="B97" s="5" t="str">
        <f t="shared" si="2"/>
        <v>2025</v>
      </c>
      <c r="C97" t="str">
        <f>columnnames!C97 &amp; "(" &amp; datasample!C97 &amp; ")"</f>
        <v>ride_id(FB27405C3F8C824F)</v>
      </c>
      <c r="D97" t="str">
        <f>columnnames!D97 &amp; "(" &amp; datasample!D97 &amp; ")"</f>
        <v>rideable_type(classic_bike)</v>
      </c>
      <c r="E97" s="3" t="str">
        <f>columnnames!E97 &amp; "(" &amp; datasample!E97 &amp; ")"</f>
        <v>started_at(2026-01-15 14:25:42.526)</v>
      </c>
      <c r="F97" s="3" t="str">
        <f>columnnames!F97 &amp; "(" &amp; datasample!F97 &amp; ")"</f>
        <v>ended_at(2026-01-15 14:33:18.854)</v>
      </c>
      <c r="G97" t="str">
        <f>columnnames!G97 &amp; "(" &amp; datasample!G97 &amp; ")"</f>
        <v>start_station_name(Shore Dr &amp; 55th St)</v>
      </c>
      <c r="H97" t="str">
        <f>columnnames!H97 &amp; "(" &amp; datasample!H97 &amp; ")"</f>
        <v>start_station_id(CHI00394)</v>
      </c>
      <c r="I97" t="str">
        <f>columnnames!I97 &amp; "(" &amp; datasample!I97 &amp; ")"</f>
        <v>end_station_name(Woodlawn Ave &amp; 55th St)</v>
      </c>
      <c r="J97" t="str">
        <f>columnnames!J97 &amp; "(" &amp; datasample!J97 &amp; ")"</f>
        <v>end_station_id(CHI00423)</v>
      </c>
      <c r="K97" t="str">
        <f>columnnames!K97 &amp; "(" &amp; datasample!K97 &amp; ")"</f>
        <v>start_lat(41.795212)</v>
      </c>
      <c r="L97" t="str">
        <f>columnnames!L97 &amp; "(" &amp; datasample!L97 &amp; ")"</f>
        <v>start_lng(-87.580715)</v>
      </c>
      <c r="M97" t="str">
        <f>columnnames!M97 &amp; "(" &amp; datasample!M97 &amp; ")"</f>
        <v>end_lat(41.795264)</v>
      </c>
      <c r="N97" t="str">
        <f>columnnames!N97 &amp; "(" &amp; datasample!N97 &amp; ")"</f>
        <v>end_lng(-87.596471)</v>
      </c>
      <c r="O97" s="2" t="str">
        <f>columnnames!O97 &amp; "(" &amp; datasample!O97 &amp; ")"</f>
        <v>member_casual(casual)</v>
      </c>
    </row>
    <row r="98" spans="1:15" x14ac:dyDescent="0.3">
      <c r="A98" t="s">
        <v>130</v>
      </c>
      <c r="B98" s="5" t="str">
        <f t="shared" si="2"/>
        <v>2025</v>
      </c>
      <c r="C98" t="str">
        <f>columnnames!C98 &amp; "(" &amp; datasample!C98 &amp; ")"</f>
        <v>ride_id(013609308856B7FC)</v>
      </c>
      <c r="D98" t="str">
        <f>columnnames!D98 &amp; "(" &amp; datasample!D98 &amp; ")"</f>
        <v>rideable_type(electric_bike)</v>
      </c>
      <c r="E98" s="3" t="str">
        <f>columnnames!E98 &amp; "(" &amp; datasample!E98 &amp; ")"</f>
        <v>started_at(2025-01-11 15:44:06.795)</v>
      </c>
      <c r="F98" s="3" t="str">
        <f>columnnames!F98 &amp; "(" &amp; datasample!F98 &amp; ")"</f>
        <v>ended_at(2025-01-11 15:49:11.139)</v>
      </c>
      <c r="G98" t="str">
        <f>columnnames!G98 &amp; "(" &amp; datasample!G98 &amp; ")"</f>
        <v>start_station_name(Halsted St &amp; Wrightwood Ave)</v>
      </c>
      <c r="H98" t="str">
        <f>columnnames!H98 &amp; "(" &amp; datasample!H98 &amp; ")"</f>
        <v>start_station_id(TA1309000061)</v>
      </c>
      <c r="I98" t="str">
        <f>columnnames!I98 &amp; "(" &amp; datasample!I98 &amp; ")"</f>
        <v>end_station_name(Racine Ave &amp; Belmont Ave)</v>
      </c>
      <c r="J98" t="str">
        <f>columnnames!J98 &amp; "(" &amp; datasample!J98 &amp; ")"</f>
        <v>end_station_id(TA1308000019)</v>
      </c>
      <c r="K98" t="str">
        <f>columnnames!K98 &amp; "(" &amp; datasample!K98 &amp; ")"</f>
        <v>start_lat(41.929147482)</v>
      </c>
      <c r="L98" t="str">
        <f>columnnames!L98 &amp; "(" &amp; datasample!L98 &amp; ")"</f>
        <v>start_lng(-87.649152756)</v>
      </c>
      <c r="M98" t="str">
        <f>columnnames!M98 &amp; "(" &amp; datasample!M98 &amp; ")"</f>
        <v>end_lat(41.939743)</v>
      </c>
      <c r="N98" t="str">
        <f>columnnames!N98 &amp; "(" &amp; datasample!N98 &amp; ")"</f>
        <v>end_lng(-87.658865)</v>
      </c>
      <c r="O98" s="2" t="str">
        <f>columnnames!O98 &amp; "(" &amp; datasample!O98 &amp; ")"</f>
        <v>member_casual(member)</v>
      </c>
    </row>
    <row r="99" spans="1:15" x14ac:dyDescent="0.3">
      <c r="A99" t="s">
        <v>109</v>
      </c>
      <c r="B99" s="5" t="str">
        <f t="shared" si="2"/>
        <v>2025</v>
      </c>
      <c r="C99" t="str">
        <f>columnnames!C99 &amp; "(" &amp; datasample!C99 &amp; ")"</f>
        <v>ride_id(303C0906F3F068AE)</v>
      </c>
      <c r="D99" t="str">
        <f>columnnames!D99 &amp; "(" &amp; datasample!D99 &amp; ")"</f>
        <v>rideable_type(classic_bike)</v>
      </c>
      <c r="E99" s="3" t="str">
        <f>columnnames!E99 &amp; "(" &amp; datasample!E99 &amp; ")"</f>
        <v>started_at(2025-02-08 14:55:13.493)</v>
      </c>
      <c r="F99" s="3" t="str">
        <f>columnnames!F99 &amp; "(" &amp; datasample!F99 &amp; ")"</f>
        <v>ended_at(2025-02-08 15:13:39.890)</v>
      </c>
      <c r="G99" t="str">
        <f>columnnames!G99 &amp; "(" &amp; datasample!G99 &amp; ")"</f>
        <v>start_station_name(Ogden Ave &amp; Race Ave)</v>
      </c>
      <c r="H99" t="str">
        <f>columnnames!H99 &amp; "(" &amp; datasample!H99 &amp; ")"</f>
        <v>start_station_id(13194)</v>
      </c>
      <c r="I99" t="str">
        <f>columnnames!I99 &amp; "(" &amp; datasample!I99 &amp; ")"</f>
        <v>end_station_name(Clark St &amp; Elm St)</v>
      </c>
      <c r="J99" t="str">
        <f>columnnames!J99 &amp; "(" &amp; datasample!J99 &amp; ")"</f>
        <v>end_station_id(TA1307000039)</v>
      </c>
      <c r="K99" t="str">
        <f>columnnames!K99 &amp; "(" &amp; datasample!K99 &amp; ")"</f>
        <v>start_lat(41.891795)</v>
      </c>
      <c r="L99" t="str">
        <f>columnnames!L99 &amp; "(" &amp; datasample!L99 &amp; ")"</f>
        <v>start_lng(-87.658751)</v>
      </c>
      <c r="M99" t="str">
        <f>columnnames!M99 &amp; "(" &amp; datasample!M99 &amp; ")"</f>
        <v>end_lat(41.902973)</v>
      </c>
      <c r="N99" t="str">
        <f>columnnames!N99 &amp; "(" &amp; datasample!N99 &amp; ")"</f>
        <v>end_lng(-87.63128)</v>
      </c>
      <c r="O99" s="2" t="str">
        <f>columnnames!O99 &amp; "(" &amp; datasample!O99 &amp; ")"</f>
        <v>member_casual(member)</v>
      </c>
    </row>
    <row r="100" spans="1:15" x14ac:dyDescent="0.3">
      <c r="A100" t="s">
        <v>142</v>
      </c>
      <c r="B100" s="5" t="str">
        <f t="shared" si="2"/>
        <v>2025</v>
      </c>
      <c r="C100" t="str">
        <f>columnnames!C100 &amp; "(" &amp; datasample!C100 &amp; ")"</f>
        <v>ride_id(1CB408029E2B5F74)</v>
      </c>
      <c r="D100" t="str">
        <f>columnnames!D100 &amp; "(" &amp; datasample!D100 &amp; ")"</f>
        <v>rideable_type(electric_bike)</v>
      </c>
      <c r="E100" s="3" t="str">
        <f>columnnames!E100 &amp; "(" &amp; datasample!E100 &amp; ")"</f>
        <v>started_at(2025-03-24 16:04:22.239)</v>
      </c>
      <c r="F100" s="3" t="str">
        <f>columnnames!F100 &amp; "(" &amp; datasample!F100 &amp; ")"</f>
        <v>ended_at(2025-03-24 16:27:41.347)</v>
      </c>
      <c r="G100" t="str">
        <f>columnnames!G100 &amp; "(" &amp; datasample!G100 &amp; ")"</f>
        <v>start_station_name()</v>
      </c>
      <c r="H100" t="str">
        <f>columnnames!H100 &amp; "(" &amp; datasample!H100 &amp; ")"</f>
        <v>start_station_id()</v>
      </c>
      <c r="I100" t="str">
        <f>columnnames!I100 &amp; "(" &amp; datasample!I100 &amp; ")"</f>
        <v>end_station_name(Albany Ave &amp; Bloomingdale Ave)</v>
      </c>
      <c r="J100" t="str">
        <f>columnnames!J100 &amp; "(" &amp; datasample!J100 &amp; ")"</f>
        <v>end_station_id(15655)</v>
      </c>
      <c r="K100" t="str">
        <f>columnnames!K100 &amp; "(" &amp; datasample!K100 &amp; ")"</f>
        <v>start_lat(41.86)</v>
      </c>
      <c r="L100" t="str">
        <f>columnnames!L100 &amp; "(" &amp; datasample!L100 &amp; ")"</f>
        <v>start_lng(-87.68)</v>
      </c>
      <c r="M100" t="str">
        <f>columnnames!M100 &amp; "(" &amp; datasample!M100 &amp; ")"</f>
        <v>end_lat(41.91402671273)</v>
      </c>
      <c r="N100" t="str">
        <f>columnnames!N100 &amp; "(" &amp; datasample!N100 &amp; ")"</f>
        <v>end_lng(-87.705126462)</v>
      </c>
      <c r="O100" s="2" t="str">
        <f>columnnames!O100 &amp; "(" &amp; datasample!O100 &amp; ")"</f>
        <v>member_casual(member)</v>
      </c>
    </row>
    <row r="101" spans="1:15" x14ac:dyDescent="0.3">
      <c r="A101" t="s">
        <v>28</v>
      </c>
      <c r="B101" s="5" t="str">
        <f t="shared" si="2"/>
        <v>2025</v>
      </c>
      <c r="C101" t="str">
        <f>columnnames!C101 &amp; "(" &amp; datasample!C101 &amp; ")"</f>
        <v>ride_id(8B38081EBE918800)</v>
      </c>
      <c r="D101" t="str">
        <f>columnnames!D101 &amp; "(" &amp; datasample!D101 &amp; ")"</f>
        <v>rideable_type(electric_bike)</v>
      </c>
      <c r="E101" s="3" t="str">
        <f>columnnames!E101 &amp; "(" &amp; datasample!E101 &amp; ")"</f>
        <v>started_at(2025-04-23 17:48:51.863)</v>
      </c>
      <c r="F101" s="3" t="str">
        <f>columnnames!F101 &amp; "(" &amp; datasample!F101 &amp; ")"</f>
        <v>ended_at(2025-04-23 17:59:06.015)</v>
      </c>
      <c r="G101" t="str">
        <f>columnnames!G101 &amp; "(" &amp; datasample!G101 &amp; ")"</f>
        <v>start_station_name(Wabash Ave &amp; Adams St)</v>
      </c>
      <c r="H101" t="str">
        <f>columnnames!H101 &amp; "(" &amp; datasample!H101 &amp; ")"</f>
        <v>start_station_id(KA1503000015)</v>
      </c>
      <c r="I101" t="str">
        <f>columnnames!I101 &amp; "(" &amp; datasample!I101 &amp; ")"</f>
        <v>end_station_name(Green St &amp; Madison St)</v>
      </c>
      <c r="J101" t="str">
        <f>columnnames!J101 &amp; "(" &amp; datasample!J101 &amp; ")"</f>
        <v>end_station_id(TA1307000120)</v>
      </c>
      <c r="K101" t="str">
        <f>columnnames!K101 &amp; "(" &amp; datasample!K101 &amp; ")"</f>
        <v>start_lat(41.87947235235)</v>
      </c>
      <c r="L101" t="str">
        <f>columnnames!L101 &amp; "(" &amp; datasample!L101 &amp; ")"</f>
        <v>start_lng(-87.6256886059)</v>
      </c>
      <c r="M101" t="str">
        <f>columnnames!M101 &amp; "(" &amp; datasample!M101 &amp; ")"</f>
        <v>end_lat(41.8818593280382)</v>
      </c>
      <c r="N101" t="str">
        <f>columnnames!N101 &amp; "(" &amp; datasample!N101 &amp; ")"</f>
        <v>end_lng(-87.6492637395859)</v>
      </c>
      <c r="O101" s="2" t="str">
        <f>columnnames!O101 &amp; "(" &amp; datasample!O101 &amp; ")"</f>
        <v>member_casual(member)</v>
      </c>
    </row>
    <row r="102" spans="1:15" x14ac:dyDescent="0.3">
      <c r="A102" t="s">
        <v>32</v>
      </c>
      <c r="B102" s="5" t="str">
        <f t="shared" si="2"/>
        <v>2025</v>
      </c>
      <c r="C102" t="str">
        <f>columnnames!C102 &amp; "(" &amp; datasample!C102 &amp; ")"</f>
        <v>ride_id(0210AE485D59C8C5)</v>
      </c>
      <c r="D102" t="str">
        <f>columnnames!D102 &amp; "(" &amp; datasample!D102 &amp; ")"</f>
        <v>rideable_type(electric_bike)</v>
      </c>
      <c r="E102" s="3" t="str">
        <f>columnnames!E102 &amp; "(" &amp; datasample!E102 &amp; ")"</f>
        <v>started_at(2025-05-05 08:02:09.251)</v>
      </c>
      <c r="F102" s="3" t="str">
        <f>columnnames!F102 &amp; "(" &amp; datasample!F102 &amp; ")"</f>
        <v>ended_at(2025-05-05 08:12:07.549)</v>
      </c>
      <c r="G102" t="str">
        <f>columnnames!G102 &amp; "(" &amp; datasample!G102 &amp; ")"</f>
        <v>start_station_name(Damen Ave &amp; Grand Ave)</v>
      </c>
      <c r="H102" t="str">
        <f>columnnames!H102 &amp; "(" &amp; datasample!H102 &amp; ")"</f>
        <v>start_station_id(TA1308000006)</v>
      </c>
      <c r="I102" t="str">
        <f>columnnames!I102 &amp; "(" &amp; datasample!I102 &amp; ")"</f>
        <v>end_station_name(Desplaines St &amp; Jackson Blvd)</v>
      </c>
      <c r="J102" t="str">
        <f>columnnames!J102 &amp; "(" &amp; datasample!J102 &amp; ")"</f>
        <v>end_station_id(15539)</v>
      </c>
      <c r="K102" t="str">
        <f>columnnames!K102 &amp; "(" &amp; datasample!K102 &amp; ")"</f>
        <v>start_lat(41.8923944529627)</v>
      </c>
      <c r="L102" t="str">
        <f>columnnames!L102 &amp; "(" &amp; datasample!L102 &amp; ")"</f>
        <v>start_lng(-87.6768851280212)</v>
      </c>
      <c r="M102" t="str">
        <f>columnnames!M102 &amp; "(" &amp; datasample!M102 &amp; ")"</f>
        <v>end_lat(41.8781189009123)</v>
      </c>
      <c r="N102" t="str">
        <f>columnnames!N102 &amp; "(" &amp; datasample!N102 &amp; ")"</f>
        <v>end_lng(-87.6439476013184)</v>
      </c>
      <c r="O102" s="2" t="str">
        <f>columnnames!O102 &amp; "(" &amp; datasample!O102 &amp; ")"</f>
        <v>member_casual(member)</v>
      </c>
    </row>
    <row r="103" spans="1:15" x14ac:dyDescent="0.3">
      <c r="A103" t="s">
        <v>99</v>
      </c>
      <c r="B103" s="5" t="str">
        <f t="shared" si="2"/>
        <v>2025</v>
      </c>
      <c r="C103" t="str">
        <f>columnnames!C103 &amp; "(" &amp; datasample!C103 &amp; ")"</f>
        <v>ride_id(1CDEA40FEAF21789)</v>
      </c>
      <c r="D103" t="str">
        <f>columnnames!D103 &amp; "(" &amp; datasample!D103 &amp; ")"</f>
        <v>rideable_type(classic_bike)</v>
      </c>
      <c r="E103" s="3" t="str">
        <f>columnnames!E103 &amp; "(" &amp; datasample!E103 &amp; ")"</f>
        <v>started_at(2025-06-14 13:03:34.478)</v>
      </c>
      <c r="F103" s="3" t="str">
        <f>columnnames!F103 &amp; "(" &amp; datasample!F103 &amp; ")"</f>
        <v>ended_at(2025-06-14 13:13:19.791)</v>
      </c>
      <c r="G103" t="str">
        <f>columnnames!G103 &amp; "(" &amp; datasample!G103 &amp; ")"</f>
        <v>start_station_name(Dearborn Pkwy &amp; Delaware Pl)</v>
      </c>
      <c r="H103" t="str">
        <f>columnnames!H103 &amp; "(" &amp; datasample!H103 &amp; ")"</f>
        <v>start_station_id(CHI00306)</v>
      </c>
      <c r="I103" t="str">
        <f>columnnames!I103 &amp; "(" &amp; datasample!I103 &amp; ")"</f>
        <v>end_station_name(Kingsbury St &amp; Kinzie St)</v>
      </c>
      <c r="J103" t="str">
        <f>columnnames!J103 &amp; "(" &amp; datasample!J103 &amp; ")"</f>
        <v>end_station_id(CHI00299)</v>
      </c>
      <c r="K103" t="str">
        <f>columnnames!K103 &amp; "(" &amp; datasample!K103 &amp; ")"</f>
        <v>start_lat(41.898969)</v>
      </c>
      <c r="L103" t="str">
        <f>columnnames!L103 &amp; "(" &amp; datasample!L103 &amp; ")"</f>
        <v>start_lng(-87.629912)</v>
      </c>
      <c r="M103" t="str">
        <f>columnnames!M103 &amp; "(" &amp; datasample!M103 &amp; ")"</f>
        <v>end_lat(41.88917683258)</v>
      </c>
      <c r="N103" t="str">
        <f>columnnames!N103 &amp; "(" &amp; datasample!N103 &amp; ")"</f>
        <v>end_lng(-87.6385057718)</v>
      </c>
      <c r="O103" s="2" t="str">
        <f>columnnames!O103 &amp; "(" &amp; datasample!O103 &amp; ")"</f>
        <v>member_casual(member)</v>
      </c>
    </row>
    <row r="104" spans="1:15" x14ac:dyDescent="0.3">
      <c r="A104" t="s">
        <v>65</v>
      </c>
      <c r="B104" s="5" t="str">
        <f t="shared" si="2"/>
        <v>2025</v>
      </c>
      <c r="C104" t="str">
        <f>columnnames!C104 &amp; "(" &amp; datasample!C104 &amp; ")"</f>
        <v>ride_id(9D4A6B723ECD98CA)</v>
      </c>
      <c r="D104" t="str">
        <f>columnnames!D104 &amp; "(" &amp; datasample!D104 &amp; ")"</f>
        <v>rideable_type(classic_bike)</v>
      </c>
      <c r="E104" s="3" t="str">
        <f>columnnames!E104 &amp; "(" &amp; datasample!E104 &amp; ")"</f>
        <v>started_at(2025-07-01 13:57:38.878)</v>
      </c>
      <c r="F104" s="3" t="str">
        <f>columnnames!F104 &amp; "(" &amp; datasample!F104 &amp; ")"</f>
        <v>ended_at(2025-07-01 14:06:35.780)</v>
      </c>
      <c r="G104" t="str">
        <f>columnnames!G104 &amp; "(" &amp; datasample!G104 &amp; ")"</f>
        <v>start_station_name(Cottage Grove Ave &amp; Oakwood Blvd)</v>
      </c>
      <c r="H104" t="str">
        <f>columnnames!H104 &amp; "(" &amp; datasample!H104 &amp; ")"</f>
        <v>start_station_id(CHI00400)</v>
      </c>
      <c r="I104" t="str">
        <f>columnnames!I104 &amp; "(" &amp; datasample!I104 &amp; ")"</f>
        <v>end_station_name(Cottage Grove Ave &amp; 47th St)</v>
      </c>
      <c r="J104" t="str">
        <f>columnnames!J104 &amp; "(" &amp; datasample!J104 &amp; ")"</f>
        <v>end_station_id(CHI00488)</v>
      </c>
      <c r="K104" t="str">
        <f>columnnames!K104 &amp; "(" &amp; datasample!K104 &amp; ")"</f>
        <v>start_lat(41.822985)</v>
      </c>
      <c r="L104" t="str">
        <f>columnnames!L104 &amp; "(" &amp; datasample!L104 &amp; ")"</f>
        <v>start_lng(-87.6071)</v>
      </c>
      <c r="M104" t="str">
        <f>columnnames!M104 &amp; "(" &amp; datasample!M104 &amp; ")"</f>
        <v>end_lat(41.809855)</v>
      </c>
      <c r="N104" t="str">
        <f>columnnames!N104 &amp; "(" &amp; datasample!N104 &amp; ")"</f>
        <v>end_lng(-87.606755)</v>
      </c>
      <c r="O104" s="2" t="str">
        <f>columnnames!O104 &amp; "(" &amp; datasample!O104 &amp; ")"</f>
        <v>member_casual(member)</v>
      </c>
    </row>
    <row r="105" spans="1:15" x14ac:dyDescent="0.3">
      <c r="A105" t="s">
        <v>61</v>
      </c>
      <c r="B105" s="5" t="str">
        <f t="shared" si="2"/>
        <v>2025</v>
      </c>
      <c r="C105" t="str">
        <f>columnnames!C105 &amp; "(" &amp; datasample!C105 &amp; ")"</f>
        <v>ride_id(FB25D4B923656D01)</v>
      </c>
      <c r="D105" t="str">
        <f>columnnames!D105 &amp; "(" &amp; datasample!D105 &amp; ")"</f>
        <v>rideable_type(electric_bike)</v>
      </c>
      <c r="E105" s="3" t="str">
        <f>columnnames!E105 &amp; "(" &amp; datasample!E105 &amp; ")"</f>
        <v>started_at(2025-08-27 19:15:53.059)</v>
      </c>
      <c r="F105" s="3" t="str">
        <f>columnnames!F105 &amp; "(" &amp; datasample!F105 &amp; ")"</f>
        <v>ended_at(2025-08-27 19:34:13.683)</v>
      </c>
      <c r="G105" t="str">
        <f>columnnames!G105 &amp; "(" &amp; datasample!G105 &amp; ")"</f>
        <v>start_station_name()</v>
      </c>
      <c r="H105" t="str">
        <f>columnnames!H105 &amp; "(" &amp; datasample!H105 &amp; ")"</f>
        <v>start_station_id()</v>
      </c>
      <c r="I105" t="str">
        <f>columnnames!I105 &amp; "(" &amp; datasample!I105 &amp; ")"</f>
        <v>end_station_name()</v>
      </c>
      <c r="J105" t="str">
        <f>columnnames!J105 &amp; "(" &amp; datasample!J105 &amp; ")"</f>
        <v>end_station_id()</v>
      </c>
      <c r="K105" t="str">
        <f>columnnames!K105 &amp; "(" &amp; datasample!K105 &amp; ")"</f>
        <v>start_lat(41.95)</v>
      </c>
      <c r="L105" t="str">
        <f>columnnames!L105 &amp; "(" &amp; datasample!L105 &amp; ")"</f>
        <v>start_lng(-87.64)</v>
      </c>
      <c r="M105" t="str">
        <f>columnnames!M105 &amp; "(" &amp; datasample!M105 &amp; ")"</f>
        <v>end_lat(41.89)</v>
      </c>
      <c r="N105" t="str">
        <f>columnnames!N105 &amp; "(" &amp; datasample!N105 &amp; ")"</f>
        <v>end_lng(-87.61)</v>
      </c>
      <c r="O105" s="2" t="str">
        <f>columnnames!O105 &amp; "(" &amp; datasample!O105 &amp; ")"</f>
        <v>member_casual(casual)</v>
      </c>
    </row>
    <row r="106" spans="1:15" x14ac:dyDescent="0.3">
      <c r="A106" t="s">
        <v>166</v>
      </c>
      <c r="B106" s="5" t="str">
        <f t="shared" si="2"/>
        <v>2025</v>
      </c>
      <c r="C106" t="str">
        <f>columnnames!C106 &amp; "(" &amp; datasample!C106 &amp; ")"</f>
        <v>ride_id(DCC4ABF0F7DCCE6A)</v>
      </c>
      <c r="D106" t="str">
        <f>columnnames!D106 &amp; "(" &amp; datasample!D106 &amp; ")"</f>
        <v>rideable_type(electric_bike)</v>
      </c>
      <c r="E106" s="3" t="str">
        <f>columnnames!E106 &amp; "(" &amp; datasample!E106 &amp; ")"</f>
        <v>started_at(2025-09-01 01:41:00.775)</v>
      </c>
      <c r="F106" s="3" t="str">
        <f>columnnames!F106 &amp; "(" &amp; datasample!F106 &amp; ")"</f>
        <v>ended_at(2025-09-01 01:48:59.228)</v>
      </c>
      <c r="G106" t="str">
        <f>columnnames!G106 &amp; "(" &amp; datasample!G106 &amp; ")"</f>
        <v>start_station_name()</v>
      </c>
      <c r="H106" t="str">
        <f>columnnames!H106 &amp; "(" &amp; datasample!H106 &amp; ")"</f>
        <v>start_station_id()</v>
      </c>
      <c r="I106" t="str">
        <f>columnnames!I106 &amp; "(" &amp; datasample!I106 &amp; ")"</f>
        <v>end_station_name()</v>
      </c>
      <c r="J106" t="str">
        <f>columnnames!J106 &amp; "(" &amp; datasample!J106 &amp; ")"</f>
        <v>end_station_id()</v>
      </c>
      <c r="K106" t="str">
        <f>columnnames!K106 &amp; "(" &amp; datasample!K106 &amp; ")"</f>
        <v>start_lat(41.95)</v>
      </c>
      <c r="L106" t="str">
        <f>columnnames!L106 &amp; "(" &amp; datasample!L106 &amp; ")"</f>
        <v>start_lng(-87.67)</v>
      </c>
      <c r="M106" t="str">
        <f>columnnames!M106 &amp; "(" &amp; datasample!M106 &amp; ")"</f>
        <v>end_lat(41.95)</v>
      </c>
      <c r="N106" t="str">
        <f>columnnames!N106 &amp; "(" &amp; datasample!N106 &amp; ")"</f>
        <v>end_lng(-87.65)</v>
      </c>
      <c r="O106" s="2" t="str">
        <f>columnnames!O106 &amp; "(" &amp; datasample!O106 &amp; ")"</f>
        <v>member_casual(member)</v>
      </c>
    </row>
    <row r="107" spans="1:15" x14ac:dyDescent="0.3">
      <c r="A107" t="s">
        <v>106</v>
      </c>
      <c r="B107" s="5" t="str">
        <f t="shared" si="2"/>
        <v>2025</v>
      </c>
      <c r="C107" t="str">
        <f>columnnames!C107 &amp; "(" &amp; datasample!C107 &amp; ")"</f>
        <v>ride_id(F90C86BF3BB85040)</v>
      </c>
      <c r="D107" t="str">
        <f>columnnames!D107 &amp; "(" &amp; datasample!D107 &amp; ")"</f>
        <v>rideable_type(classic_bike)</v>
      </c>
      <c r="E107" s="3" t="str">
        <f>columnnames!E107 &amp; "(" &amp; datasample!E107 &amp; ")"</f>
        <v>started_at(2025-10-14 07:42:55.465)</v>
      </c>
      <c r="F107" s="3" t="str">
        <f>columnnames!F107 &amp; "(" &amp; datasample!F107 &amp; ")"</f>
        <v>ended_at(45944.3362113773)</v>
      </c>
      <c r="G107" t="str">
        <f>columnnames!G107 &amp; "(" &amp; datasample!G107 &amp; ")"</f>
        <v>start_station_name(Racine Ave &amp; Wrightwood Ave)</v>
      </c>
      <c r="H107" t="str">
        <f>columnnames!H107 &amp; "(" &amp; datasample!H107 &amp; ")"</f>
        <v>start_station_id(CHI00506)</v>
      </c>
      <c r="I107" t="str">
        <f>columnnames!I107 &amp; "(" &amp; datasample!I107 &amp; ")"</f>
        <v>end_station_name(McClurg Ct &amp; Ohio St)</v>
      </c>
      <c r="J107" t="str">
        <f>columnnames!J107 &amp; "(" &amp; datasample!J107 &amp; ")"</f>
        <v>end_station_id(CHI00330)</v>
      </c>
      <c r="K107" t="str">
        <f>columnnames!K107 &amp; "(" &amp; datasample!K107 &amp; ")"</f>
        <v>start_lat(41.928887)</v>
      </c>
      <c r="L107" t="str">
        <f>columnnames!L107 &amp; "(" &amp; datasample!L107 &amp; ")"</f>
        <v>start_lng(-87.658971)</v>
      </c>
      <c r="M107" t="str">
        <f>columnnames!M107 &amp; "(" &amp; datasample!M107 &amp; ")"</f>
        <v>end_lat(41.8925921197097)</v>
      </c>
      <c r="N107" t="str">
        <f>columnnames!N107 &amp; "(" &amp; datasample!N107 &amp; ")"</f>
        <v>end_lng(-87.6172891259193)</v>
      </c>
      <c r="O107" s="2" t="str">
        <f>columnnames!O107 &amp; "(" &amp; datasample!O107 &amp; ")"</f>
        <v>member_casual(member)</v>
      </c>
    </row>
    <row r="108" spans="1:15" x14ac:dyDescent="0.3">
      <c r="A108" t="s">
        <v>161</v>
      </c>
      <c r="B108" s="5" t="str">
        <f t="shared" si="2"/>
        <v>2025</v>
      </c>
      <c r="C108" t="str">
        <f>columnnames!C108 &amp; "(" &amp; datasample!C108 &amp; ")"</f>
        <v>ride_id(EAEBE70DBF015886)</v>
      </c>
      <c r="D108" t="str">
        <f>columnnames!D108 &amp; "(" &amp; datasample!D108 &amp; ")"</f>
        <v>rideable_type(electric_bike)</v>
      </c>
      <c r="E108" s="3" t="str">
        <f>columnnames!E108 &amp; "(" &amp; datasample!E108 &amp; ")"</f>
        <v>started_at(2025-11-04 14:32:09.067)</v>
      </c>
      <c r="F108" s="3" t="str">
        <f>columnnames!F108 &amp; "(" &amp; datasample!F108 &amp; ")"</f>
        <v>ended_at(2025-11-04 14:36:43.998)</v>
      </c>
      <c r="G108" t="str">
        <f>columnnames!G108 &amp; "(" &amp; datasample!G108 &amp; ")"</f>
        <v>start_station_name()</v>
      </c>
      <c r="H108" t="str">
        <f>columnnames!H108 &amp; "(" &amp; datasample!H108 &amp; ")"</f>
        <v>start_station_id()</v>
      </c>
      <c r="I108" t="str">
        <f>columnnames!I108 &amp; "(" &amp; datasample!I108 &amp; ")"</f>
        <v>end_station_name()</v>
      </c>
      <c r="J108" t="str">
        <f>columnnames!J108 &amp; "(" &amp; datasample!J108 &amp; ")"</f>
        <v>end_station_id()</v>
      </c>
      <c r="K108" t="str">
        <f>columnnames!K108 &amp; "(" &amp; datasample!K108 &amp; ")"</f>
        <v>start_lat(41.9)</v>
      </c>
      <c r="L108" t="str">
        <f>columnnames!L108 &amp; "(" &amp; datasample!L108 &amp; ")"</f>
        <v>start_lng(-87.64)</v>
      </c>
      <c r="M108" t="str">
        <f>columnnames!M108 &amp; "(" &amp; datasample!M108 &amp; ")"</f>
        <v>end_lat(41.91)</v>
      </c>
      <c r="N108" t="str">
        <f>columnnames!N108 &amp; "(" &amp; datasample!N108 &amp; ")"</f>
        <v>end_lng(-87.64)</v>
      </c>
      <c r="O108" s="2" t="str">
        <f>columnnames!O108 &amp; "(" &amp; datasample!O108 &amp; ")"</f>
        <v>member_casual(casual)</v>
      </c>
    </row>
    <row r="109" spans="1:15" x14ac:dyDescent="0.3">
      <c r="A109" t="s">
        <v>125</v>
      </c>
      <c r="B109" s="5" t="str">
        <f t="shared" si="2"/>
        <v>2025</v>
      </c>
      <c r="C109" t="str">
        <f>columnnames!C109 &amp; "(" &amp; datasample!C109 &amp; ")"</f>
        <v>ride_id(B005230EE77A29D0)</v>
      </c>
      <c r="D109" t="str">
        <f>columnnames!D109 &amp; "(" &amp; datasample!D109 &amp; ")"</f>
        <v>rideable_type(classic_bike)</v>
      </c>
      <c r="E109" s="3" t="str">
        <f>columnnames!E109 &amp; "(" &amp; datasample!E109 &amp; ")"</f>
        <v>started_at(2025-12-20 17:15:31.749)</v>
      </c>
      <c r="F109" s="3" t="str">
        <f>columnnames!F109 &amp; "(" &amp; datasample!F109 &amp; ")"</f>
        <v>ended_at(2025-12-20 17:20:07.746)</v>
      </c>
      <c r="G109" t="str">
        <f>columnnames!G109 &amp; "(" &amp; datasample!G109 &amp; ")"</f>
        <v>start_station_name(Sheridan Rd &amp; Montrose Ave)</v>
      </c>
      <c r="H109" t="str">
        <f>columnnames!H109 &amp; "(" &amp; datasample!H109 &amp; ")"</f>
        <v>start_station_id(CHI00290)</v>
      </c>
      <c r="I109" t="str">
        <f>columnnames!I109 &amp; "(" &amp; datasample!I109 &amp; ")"</f>
        <v>end_station_name(Broadway &amp; Sheridan Rd)</v>
      </c>
      <c r="J109" t="str">
        <f>columnnames!J109 &amp; "(" &amp; datasample!J109 &amp; ")"</f>
        <v>end_station_id(CHI00476)</v>
      </c>
      <c r="K109" t="str">
        <f>columnnames!K109 &amp; "(" &amp; datasample!K109 &amp; ")"</f>
        <v>start_lat(41.96167)</v>
      </c>
      <c r="L109" t="str">
        <f>columnnames!L109 &amp; "(" &amp; datasample!L109 &amp; ")"</f>
        <v>start_lng(-87.65464)</v>
      </c>
      <c r="M109" t="str">
        <f>columnnames!M109 &amp; "(" &amp; datasample!M109 &amp; ")"</f>
        <v>end_lat(41.952833)</v>
      </c>
      <c r="N109" t="str">
        <f>columnnames!N109 &amp; "(" &amp; datasample!N109 &amp; ")"</f>
        <v>end_lng(-87.649993)</v>
      </c>
      <c r="O109" s="2" t="str">
        <f>columnnames!O109 &amp; "(" &amp; datasample!O109 &amp; ")"</f>
        <v>member_casual(member)</v>
      </c>
    </row>
    <row r="110" spans="1:15" x14ac:dyDescent="0.3">
      <c r="A110" t="s">
        <v>157</v>
      </c>
      <c r="B110" s="5" t="str">
        <f t="shared" si="2"/>
        <v>2026</v>
      </c>
      <c r="C110" t="str">
        <f>columnnames!C110 &amp; "(" &amp; datasample!C110 &amp; ")"</f>
        <v>ride_id(790A93E87E5EE83C)</v>
      </c>
      <c r="D110" t="str">
        <f>columnnames!D110 &amp; "(" &amp; datasample!D110 &amp; ")"</f>
        <v>rideable_type(electric_bike)</v>
      </c>
      <c r="E110" s="3" t="str">
        <f>columnnames!E110 &amp; "(" &amp; datasample!E110 &amp; ")"</f>
        <v>started_at(2026-02-08 14:44:11.880)</v>
      </c>
      <c r="F110" s="3" t="str">
        <f>columnnames!F110 &amp; "(" &amp; datasample!F110 &amp; ")"</f>
        <v>ended_at(2026-02-08 14:48:14.329)</v>
      </c>
      <c r="G110" t="str">
        <f>columnnames!G110 &amp; "(" &amp; datasample!G110 &amp; ")"</f>
        <v>start_station_name()</v>
      </c>
      <c r="H110" t="str">
        <f>columnnames!H110 &amp; "(" &amp; datasample!H110 &amp; ")"</f>
        <v>start_station_id()</v>
      </c>
      <c r="I110" t="str">
        <f>columnnames!I110 &amp; "(" &amp; datasample!I110 &amp; ")"</f>
        <v>end_station_name()</v>
      </c>
      <c r="J110" t="str">
        <f>columnnames!J110 &amp; "(" &amp; datasample!J110 &amp; ")"</f>
        <v>end_station_id()</v>
      </c>
      <c r="K110" t="str">
        <f>columnnames!K110 &amp; "(" &amp; datasample!K110 &amp; ")"</f>
        <v>start_lat(41.89)</v>
      </c>
      <c r="L110" t="str">
        <f>columnnames!L110 &amp; "(" &amp; datasample!L110 &amp; ")"</f>
        <v>start_lng(-87.62)</v>
      </c>
      <c r="M110" t="str">
        <f>columnnames!M110 &amp; "(" &amp; datasample!M110 &amp; ")"</f>
        <v>end_lat(41.89)</v>
      </c>
      <c r="N110" t="str">
        <f>columnnames!N110 &amp; "(" &amp; datasample!N110 &amp; ")"</f>
        <v>end_lng(-87.62)</v>
      </c>
      <c r="O110" s="2" t="str">
        <f>columnnames!O110 &amp; "(" &amp; datasample!O110 &amp; ")"</f>
        <v>member_casual(member)</v>
      </c>
    </row>
    <row r="111" spans="1:15" x14ac:dyDescent="0.3">
      <c r="A111" t="s">
        <v>167</v>
      </c>
      <c r="B111" s="5" t="str">
        <f t="shared" si="2"/>
        <v>2026</v>
      </c>
      <c r="C111" t="str">
        <f>columnnames!C111 &amp; "(" &amp; datasample!C111 &amp; ")"</f>
        <v>ride_id(2FC08B198BA431AA)</v>
      </c>
      <c r="D111" t="str">
        <f>columnnames!D111 &amp; "(" &amp; datasample!D111 &amp; ")"</f>
        <v>rideable_type(classic_bike)</v>
      </c>
      <c r="E111" s="3" t="str">
        <f>columnnames!E111 &amp; "(" &amp; datasample!E111 &amp; ")"</f>
        <v>started_at(2026-03-31 13:35:55.605)</v>
      </c>
      <c r="F111" s="3" t="str">
        <f>columnnames!F111 &amp; "(" &amp; datasample!F111 &amp; ")"</f>
        <v>ended_at(2026-03-31 13:39:31.356)</v>
      </c>
      <c r="G111" t="str">
        <f>columnnames!G111 &amp; "(" &amp; datasample!G111 &amp; ")"</f>
        <v>start_station_name(Morgan St &amp; Polk St)</v>
      </c>
      <c r="H111" t="str">
        <f>columnnames!H111 &amp; "(" &amp; datasample!H111 &amp; ")"</f>
        <v>start_station_id(CHI00372)</v>
      </c>
      <c r="I111" t="str">
        <f>columnnames!I111 &amp; "(" &amp; datasample!I111 &amp; ")"</f>
        <v>end_station_name(Loomis St &amp; Lexington St)</v>
      </c>
      <c r="J111" t="str">
        <f>columnnames!J111 &amp; "(" &amp; datasample!J111 &amp; ")"</f>
        <v>end_station_id(CHI00238)</v>
      </c>
      <c r="K111" t="str">
        <f>columnnames!K111 &amp; "(" &amp; datasample!K111 &amp; ")"</f>
        <v>start_lat(41.871737)</v>
      </c>
      <c r="L111" t="str">
        <f>columnnames!L111 &amp; "(" &amp; datasample!L111 &amp; ")"</f>
        <v>start_lng(-87.65103)</v>
      </c>
      <c r="M111" t="str">
        <f>columnnames!M111 &amp; "(" &amp; datasample!M111 &amp; ")"</f>
        <v>end_lat(41.8722287322403)</v>
      </c>
      <c r="N111" t="str">
        <f>columnnames!N111 &amp; "(" &amp; datasample!N111 &amp; ")"</f>
        <v>end_lng(-87.6613638550043)</v>
      </c>
      <c r="O111" s="2" t="str">
        <f>columnnames!O111 &amp; "(" &amp; datasample!O111 &amp; ")"</f>
        <v>member_casual(member)</v>
      </c>
    </row>
    <row r="112" spans="1:15" x14ac:dyDescent="0.3">
      <c r="A112" t="s">
        <v>59</v>
      </c>
      <c r="B112" s="5" t="str">
        <f t="shared" si="2"/>
        <v>2026</v>
      </c>
      <c r="C112" t="str">
        <f>columnnames!C112 &amp; "(" &amp; datasample!C112 &amp; ")"</f>
        <v>ride_id(8FE476DD539B3402)</v>
      </c>
      <c r="D112" t="str">
        <f>columnnames!D112 &amp; "(" &amp; datasample!D112 &amp; ")"</f>
        <v>rideable_type(electric_bike)</v>
      </c>
      <c r="E112" s="3" t="str">
        <f>columnnames!E112 &amp; "(" &amp; datasample!E112 &amp; ")"</f>
        <v>started_at(2026-04-13 09:56:56.062)</v>
      </c>
      <c r="F112" s="3" t="str">
        <f>columnnames!F112 &amp; "(" &amp; datasample!F112 &amp; ")"</f>
        <v>ended_at(2026-04-13 10:24:12.047)</v>
      </c>
      <c r="G112" t="str">
        <f>columnnames!G112 &amp; "(" &amp; datasample!G112 &amp; ")"</f>
        <v>start_station_name()</v>
      </c>
      <c r="H112" t="str">
        <f>columnnames!H112 &amp; "(" &amp; datasample!H112 &amp; ")"</f>
        <v>start_station_id()</v>
      </c>
      <c r="I112" t="str">
        <f>columnnames!I112 &amp; "(" &amp; datasample!I112 &amp; ")"</f>
        <v>end_station_name()</v>
      </c>
      <c r="J112" t="str">
        <f>columnnames!J112 &amp; "(" &amp; datasample!J112 &amp; ")"</f>
        <v>end_station_id()</v>
      </c>
      <c r="K112" t="str">
        <f>columnnames!K112 &amp; "(" &amp; datasample!K112 &amp; ")"</f>
        <v>start_lat(41.91)</v>
      </c>
      <c r="L112" t="str">
        <f>columnnames!L112 &amp; "(" &amp; datasample!L112 &amp; ")"</f>
        <v>start_lng(-87.66)</v>
      </c>
      <c r="M112" t="str">
        <f>columnnames!M112 &amp; "(" &amp; datasample!M112 &amp; ")"</f>
        <v>end_lat(41.88)</v>
      </c>
      <c r="N112" t="str">
        <f>columnnames!N112 &amp; "(" &amp; datasample!N112 &amp; ")"</f>
        <v>end_lng(-87.63)</v>
      </c>
      <c r="O112" s="2" t="str">
        <f>columnnames!O112 &amp; "(" &amp; datasample!O112 &amp; ")"</f>
        <v>member_casual(member)</v>
      </c>
    </row>
    <row r="113" spans="1:15" x14ac:dyDescent="0.3">
      <c r="A113" t="s">
        <v>129</v>
      </c>
      <c r="B113" s="5" t="str">
        <f t="shared" ref="B113" si="3">LEFT(A113, 4)</f>
        <v>2026</v>
      </c>
      <c r="C113" t="str">
        <f>columnnames!C113 &amp; "(" &amp; datasample!C113 &amp; ")"</f>
        <v>ride_id(746948BC4E29B6D0)</v>
      </c>
      <c r="D113" t="str">
        <f>columnnames!D113 &amp; "(" &amp; datasample!D113 &amp; ")"</f>
        <v>rideable_type(electric_bike)</v>
      </c>
      <c r="E113" s="3" t="str">
        <f>columnnames!E113 &amp; "(" &amp; datasample!E113 &amp; ")"</f>
        <v>started_at(2026-05-20 11:37:45.232)</v>
      </c>
      <c r="F113" s="3" t="str">
        <f>columnnames!F113 &amp; "(" &amp; datasample!F113 &amp; ")"</f>
        <v>ended_at(2026-05-20 11:51:43.399)</v>
      </c>
      <c r="G113" t="str">
        <f>columnnames!G113 &amp; "(" &amp; datasample!G113 &amp; ")"</f>
        <v>start_station_name()</v>
      </c>
      <c r="H113" t="str">
        <f>columnnames!H113 &amp; "(" &amp; datasample!H113 &amp; ")"</f>
        <v>start_station_id()</v>
      </c>
      <c r="I113" t="str">
        <f>columnnames!I113 &amp; "(" &amp; datasample!I113 &amp; ")"</f>
        <v>end_station_name()</v>
      </c>
      <c r="J113" t="str">
        <f>columnnames!J113 &amp; "(" &amp; datasample!J113 &amp; ")"</f>
        <v>end_station_id()</v>
      </c>
      <c r="K113" t="str">
        <f>columnnames!K113 &amp; "(" &amp; datasample!K113 &amp; ")"</f>
        <v>start_lat(41.89)</v>
      </c>
      <c r="L113" t="str">
        <f>columnnames!L113 &amp; "(" &amp; datasample!L113 &amp; ")"</f>
        <v>start_lng(-87.62)</v>
      </c>
      <c r="M113" t="str">
        <f>columnnames!M113 &amp; "(" &amp; datasample!M113 &amp; ")"</f>
        <v>end_lat(41.9)</v>
      </c>
      <c r="N113" t="str">
        <f>columnnames!N113 &amp; "(" &amp; datasample!N113 &amp; ")"</f>
        <v>end_lng(-87.64)</v>
      </c>
      <c r="O113" s="2" t="str">
        <f>columnnames!O113 &amp; "(" &amp; datasample!O113 &amp; ")"</f>
        <v>member_casual(casual)</v>
      </c>
    </row>
  </sheetData>
  <autoFilter ref="A1:O113" xr:uid="{3C1C4806-94D8-4845-9569-DD4561DA02F2}">
    <filterColumn colId="11">
      <filters>
        <filter val="start_lng(-87.580715)"/>
        <filter val="start_lng(-87.59)"/>
        <filter val="start_lng(-87.592464)"/>
        <filter val="start_lng(-87.594747)"/>
        <filter val="start_lng(-87.6)"/>
        <filter val="start_lng(-87.6071)"/>
        <filter val="start_lng(-87.616743)"/>
        <filter val="start_lng(-87.62)"/>
        <filter val="start_lng(-87.6236811666667)"/>
        <filter val="start_lng(-87.6237516666667)"/>
        <filter val="start_lng(-87.6239812374115)"/>
        <filter val="start_lng(-87.6246839761734)"/>
        <filter val="start_lng(-87.6256886059)"/>
        <filter val="start_lng(-87.629543)"/>
        <filter val="start_lng(-87.629912)"/>
        <filter val="start_lng(-87.63)"/>
        <filter val="start_lng(-87.6315503333333)"/>
        <filter val="start_lng(-87.6319313049316)"/>
        <filter val="start_lng(-87.632331)"/>
        <filter val="start_lng(-87.6344401666667)"/>
        <filter val="start_lng(-87.635185)"/>
        <filter val="start_lng(-87.6353428333333)"/>
        <filter val="start_lng(-87.639904)"/>
        <filter val="start_lng(-87.64)"/>
        <filter val="start_lng(-87.6431)"/>
        <filter val="start_lng(-87.644336)"/>
        <filter val="start_lng(-87.644415)"/>
        <filter val="start_lng(-87.645451)"/>
        <filter val="start_lng(-87.6475386582)"/>
        <filter val="start_lng(-87.64895)"/>
        <filter val="start_lng(-87.649077)"/>
        <filter val="start_lng(-87.649152756)"/>
        <filter val="start_lng(-87.649583697)"/>
        <filter val="start_lng(-87.65)"/>
        <filter val="start_lng(-87.650034904)"/>
        <filter val="start_lng(-87.65103)"/>
        <filter val="start_lng(-87.65464)"/>
        <filter val="start_lng(-87.654958963)"/>
        <filter val="start_lng(-87.658751)"/>
        <filter val="start_lng(-87.658971)"/>
        <filter val="start_lng(-87.66)"/>
        <filter val="start_lng(-87.6624120948)"/>
        <filter val="start_lng(-87.6638484)"/>
        <filter val="start_lng(-87.663911)"/>
        <filter val="start_lng(-87.6659675)"/>
        <filter val="start_lng(-87.666)"/>
        <filter val="start_lng(-87.666058)"/>
        <filter val="start_lng(-87.667968)"/>
        <filter val="start_lng(-87.67)"/>
        <filter val="start_lng(-87.6768851280212)"/>
        <filter val="start_lng(-87.6779368333333)"/>
        <filter val="start_lng(-87.68)"/>
        <filter val="start_lng(-87.6865960164)"/>
        <filter val="start_lng(-87.696704)"/>
        <filter val="start_lng(-87.696707)"/>
        <filter val="start_lng(-87.7)"/>
        <filter val="start_lng(-87.7018089555)"/>
        <filter val="start_lng(-87.71)"/>
        <filter val="start_lng(-87.7154)"/>
        <filter val="User Type(Subscriber)"/>
        <filter val="usertype(Customer)"/>
        <filter val="usertype(Subscriber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3"/>
  <sheetViews>
    <sheetView workbookViewId="0">
      <selection activeCell="I7" sqref="I7"/>
    </sheetView>
  </sheetViews>
  <sheetFormatPr defaultRowHeight="14.4" x14ac:dyDescent="0.3"/>
  <cols>
    <col min="1" max="1" width="27.21875" bestFit="1" customWidth="1"/>
    <col min="2" max="2" width="8.88671875" style="1"/>
  </cols>
  <sheetData>
    <row r="1" spans="1:15" x14ac:dyDescent="0.3">
      <c r="A1" t="s">
        <v>0</v>
      </c>
      <c r="B1" s="1" t="s">
        <v>680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86</v>
      </c>
      <c r="B2" s="1">
        <v>2013</v>
      </c>
      <c r="C2" t="s">
        <v>178</v>
      </c>
      <c r="D2" t="s">
        <v>176</v>
      </c>
      <c r="E2" t="s">
        <v>177</v>
      </c>
      <c r="F2" t="s">
        <v>177</v>
      </c>
      <c r="G2" t="s">
        <v>178</v>
      </c>
      <c r="H2" t="s">
        <v>178</v>
      </c>
      <c r="I2" t="s">
        <v>176</v>
      </c>
    </row>
    <row r="3" spans="1:15" x14ac:dyDescent="0.3">
      <c r="A3" t="s">
        <v>84</v>
      </c>
      <c r="B3" s="1">
        <v>2013</v>
      </c>
      <c r="C3" t="s">
        <v>178</v>
      </c>
      <c r="D3" t="s">
        <v>176</v>
      </c>
      <c r="E3" t="s">
        <v>176</v>
      </c>
      <c r="F3" t="s">
        <v>178</v>
      </c>
      <c r="G3" t="s">
        <v>178</v>
      </c>
      <c r="H3" t="s">
        <v>178</v>
      </c>
      <c r="I3" t="s">
        <v>176</v>
      </c>
      <c r="J3" t="s">
        <v>178</v>
      </c>
      <c r="K3" t="s">
        <v>176</v>
      </c>
      <c r="L3" t="s">
        <v>176</v>
      </c>
      <c r="M3" t="s">
        <v>176</v>
      </c>
      <c r="N3" t="s">
        <v>177</v>
      </c>
    </row>
    <row r="4" spans="1:15" x14ac:dyDescent="0.3">
      <c r="A4" t="s">
        <v>139</v>
      </c>
      <c r="B4" s="1">
        <v>2014</v>
      </c>
      <c r="C4" t="s">
        <v>178</v>
      </c>
      <c r="D4" t="s">
        <v>176</v>
      </c>
      <c r="E4" t="s">
        <v>177</v>
      </c>
      <c r="F4" t="s">
        <v>177</v>
      </c>
      <c r="G4" t="s">
        <v>178</v>
      </c>
      <c r="H4" t="s">
        <v>176</v>
      </c>
    </row>
    <row r="5" spans="1:15" x14ac:dyDescent="0.3">
      <c r="A5" t="s">
        <v>158</v>
      </c>
      <c r="B5" s="1">
        <v>2014</v>
      </c>
      <c r="C5" t="s">
        <v>178</v>
      </c>
      <c r="D5" t="s">
        <v>176</v>
      </c>
      <c r="E5" t="s">
        <v>176</v>
      </c>
      <c r="F5" t="s">
        <v>178</v>
      </c>
      <c r="G5" t="s">
        <v>178</v>
      </c>
      <c r="H5" t="s">
        <v>178</v>
      </c>
      <c r="I5" t="s">
        <v>176</v>
      </c>
      <c r="J5" t="s">
        <v>178</v>
      </c>
      <c r="K5" t="s">
        <v>176</v>
      </c>
      <c r="L5" t="s">
        <v>176</v>
      </c>
      <c r="M5" t="s">
        <v>176</v>
      </c>
      <c r="N5" t="s">
        <v>177</v>
      </c>
    </row>
    <row r="6" spans="1:15" x14ac:dyDescent="0.3">
      <c r="A6" t="s">
        <v>138</v>
      </c>
      <c r="B6" s="1">
        <v>2014</v>
      </c>
      <c r="C6" t="s">
        <v>178</v>
      </c>
      <c r="D6" t="s">
        <v>176</v>
      </c>
      <c r="E6" t="s">
        <v>176</v>
      </c>
      <c r="F6" t="s">
        <v>178</v>
      </c>
      <c r="G6" t="s">
        <v>178</v>
      </c>
      <c r="H6" t="s">
        <v>178</v>
      </c>
      <c r="I6" t="s">
        <v>176</v>
      </c>
      <c r="J6" t="s">
        <v>178</v>
      </c>
      <c r="K6" t="s">
        <v>176</v>
      </c>
      <c r="L6" t="s">
        <v>176</v>
      </c>
      <c r="M6" t="s">
        <v>176</v>
      </c>
      <c r="N6" t="s">
        <v>177</v>
      </c>
    </row>
    <row r="7" spans="1:15" x14ac:dyDescent="0.3">
      <c r="A7" t="s">
        <v>136</v>
      </c>
      <c r="B7" s="1">
        <v>2014</v>
      </c>
      <c r="C7" t="s">
        <v>178</v>
      </c>
      <c r="D7" t="s">
        <v>176</v>
      </c>
      <c r="E7" t="s">
        <v>176</v>
      </c>
      <c r="F7" t="s">
        <v>178</v>
      </c>
      <c r="G7" t="s">
        <v>178</v>
      </c>
      <c r="H7" t="s">
        <v>178</v>
      </c>
      <c r="I7" t="s">
        <v>176</v>
      </c>
      <c r="J7" t="s">
        <v>178</v>
      </c>
      <c r="K7" t="s">
        <v>176</v>
      </c>
      <c r="L7" t="s">
        <v>176</v>
      </c>
      <c r="M7" t="s">
        <v>176</v>
      </c>
      <c r="N7" t="s">
        <v>177</v>
      </c>
    </row>
    <row r="8" spans="1:15" x14ac:dyDescent="0.3">
      <c r="A8" t="s">
        <v>137</v>
      </c>
      <c r="B8" s="1">
        <v>2014</v>
      </c>
      <c r="C8" t="s">
        <v>178</v>
      </c>
      <c r="D8" t="s">
        <v>176</v>
      </c>
      <c r="E8" t="s">
        <v>176</v>
      </c>
      <c r="F8" t="s">
        <v>178</v>
      </c>
      <c r="G8" t="s">
        <v>178</v>
      </c>
      <c r="H8" t="s">
        <v>178</v>
      </c>
      <c r="I8" t="s">
        <v>176</v>
      </c>
      <c r="J8" t="s">
        <v>178</v>
      </c>
      <c r="K8" t="s">
        <v>176</v>
      </c>
      <c r="L8" t="s">
        <v>176</v>
      </c>
      <c r="M8" t="s">
        <v>176</v>
      </c>
      <c r="N8" t="s">
        <v>177</v>
      </c>
    </row>
    <row r="9" spans="1:15" x14ac:dyDescent="0.3">
      <c r="A9" t="s">
        <v>126</v>
      </c>
      <c r="B9" s="1">
        <v>2015</v>
      </c>
      <c r="C9" t="s">
        <v>178</v>
      </c>
      <c r="D9" t="s">
        <v>176</v>
      </c>
      <c r="E9" t="s">
        <v>177</v>
      </c>
      <c r="F9" t="s">
        <v>177</v>
      </c>
      <c r="G9" t="s">
        <v>178</v>
      </c>
      <c r="H9" t="s">
        <v>178</v>
      </c>
    </row>
    <row r="10" spans="1:15" x14ac:dyDescent="0.3">
      <c r="A10" t="s">
        <v>114</v>
      </c>
      <c r="B10" s="1">
        <v>2015</v>
      </c>
      <c r="C10" t="s">
        <v>178</v>
      </c>
      <c r="D10" t="s">
        <v>176</v>
      </c>
      <c r="E10" t="s">
        <v>176</v>
      </c>
      <c r="F10" t="s">
        <v>178</v>
      </c>
      <c r="G10" t="s">
        <v>178</v>
      </c>
      <c r="H10" t="s">
        <v>178</v>
      </c>
      <c r="I10" t="s">
        <v>176</v>
      </c>
      <c r="J10" t="s">
        <v>178</v>
      </c>
      <c r="K10" t="s">
        <v>176</v>
      </c>
      <c r="L10" t="s">
        <v>176</v>
      </c>
      <c r="M10" t="s">
        <v>176</v>
      </c>
      <c r="N10" t="s">
        <v>177</v>
      </c>
    </row>
    <row r="11" spans="1:15" x14ac:dyDescent="0.3">
      <c r="A11" t="s">
        <v>115</v>
      </c>
      <c r="B11" s="1">
        <v>2015</v>
      </c>
      <c r="C11" t="s">
        <v>178</v>
      </c>
      <c r="D11" t="s">
        <v>176</v>
      </c>
      <c r="E11" t="s">
        <v>176</v>
      </c>
      <c r="F11" t="s">
        <v>178</v>
      </c>
      <c r="G11" t="s">
        <v>178</v>
      </c>
      <c r="H11" t="s">
        <v>178</v>
      </c>
      <c r="I11" t="s">
        <v>176</v>
      </c>
      <c r="J11" t="s">
        <v>178</v>
      </c>
      <c r="K11" t="s">
        <v>176</v>
      </c>
      <c r="L11" t="s">
        <v>176</v>
      </c>
      <c r="M11" t="s">
        <v>176</v>
      </c>
      <c r="N11" t="s">
        <v>177</v>
      </c>
    </row>
    <row r="12" spans="1:15" x14ac:dyDescent="0.3">
      <c r="A12" t="s">
        <v>113</v>
      </c>
      <c r="B12" s="1">
        <v>2015</v>
      </c>
      <c r="C12" t="s">
        <v>178</v>
      </c>
      <c r="D12" t="s">
        <v>176</v>
      </c>
      <c r="E12" t="s">
        <v>176</v>
      </c>
      <c r="F12" t="s">
        <v>178</v>
      </c>
      <c r="G12" t="s">
        <v>178</v>
      </c>
      <c r="H12" t="s">
        <v>178</v>
      </c>
      <c r="I12" t="s">
        <v>176</v>
      </c>
      <c r="J12" t="s">
        <v>178</v>
      </c>
      <c r="K12" t="s">
        <v>176</v>
      </c>
      <c r="L12" t="s">
        <v>176</v>
      </c>
      <c r="M12" t="s">
        <v>176</v>
      </c>
      <c r="N12" t="s">
        <v>177</v>
      </c>
    </row>
    <row r="13" spans="1:15" x14ac:dyDescent="0.3">
      <c r="A13" t="s">
        <v>116</v>
      </c>
      <c r="B13" s="1">
        <v>2015</v>
      </c>
      <c r="C13" t="s">
        <v>178</v>
      </c>
      <c r="D13" t="s">
        <v>176</v>
      </c>
      <c r="E13" t="s">
        <v>176</v>
      </c>
      <c r="F13" t="s">
        <v>178</v>
      </c>
      <c r="G13" t="s">
        <v>178</v>
      </c>
      <c r="H13" t="s">
        <v>178</v>
      </c>
      <c r="I13" t="s">
        <v>176</v>
      </c>
      <c r="J13" t="s">
        <v>178</v>
      </c>
      <c r="K13" t="s">
        <v>176</v>
      </c>
      <c r="L13" t="s">
        <v>176</v>
      </c>
      <c r="M13" t="s">
        <v>176</v>
      </c>
      <c r="N13" t="s">
        <v>177</v>
      </c>
    </row>
    <row r="14" spans="1:15" x14ac:dyDescent="0.3">
      <c r="A14" t="s">
        <v>128</v>
      </c>
      <c r="B14" s="1">
        <v>2015</v>
      </c>
      <c r="C14" t="s">
        <v>178</v>
      </c>
      <c r="D14" t="s">
        <v>176</v>
      </c>
      <c r="E14" t="s">
        <v>176</v>
      </c>
      <c r="F14" t="s">
        <v>178</v>
      </c>
      <c r="G14" t="s">
        <v>178</v>
      </c>
      <c r="H14" t="s">
        <v>178</v>
      </c>
      <c r="I14" t="s">
        <v>176</v>
      </c>
      <c r="J14" t="s">
        <v>178</v>
      </c>
      <c r="K14" t="s">
        <v>176</v>
      </c>
      <c r="L14" t="s">
        <v>176</v>
      </c>
      <c r="M14" t="s">
        <v>176</v>
      </c>
      <c r="N14" t="s">
        <v>177</v>
      </c>
    </row>
    <row r="15" spans="1:15" x14ac:dyDescent="0.3">
      <c r="A15" t="s">
        <v>127</v>
      </c>
      <c r="B15" s="1">
        <v>2015</v>
      </c>
      <c r="C15" t="s">
        <v>178</v>
      </c>
      <c r="D15" t="s">
        <v>176</v>
      </c>
      <c r="E15" t="s">
        <v>176</v>
      </c>
      <c r="F15" t="s">
        <v>178</v>
      </c>
      <c r="G15" t="s">
        <v>178</v>
      </c>
      <c r="H15" t="s">
        <v>178</v>
      </c>
      <c r="I15" t="s">
        <v>176</v>
      </c>
      <c r="J15" t="s">
        <v>178</v>
      </c>
      <c r="K15" t="s">
        <v>176</v>
      </c>
      <c r="L15" t="s">
        <v>176</v>
      </c>
      <c r="M15" t="s">
        <v>176</v>
      </c>
      <c r="N15" t="s">
        <v>177</v>
      </c>
    </row>
    <row r="16" spans="1:15" x14ac:dyDescent="0.3">
      <c r="A16" t="s">
        <v>145</v>
      </c>
      <c r="B16" s="1">
        <v>2016</v>
      </c>
      <c r="C16" t="s">
        <v>178</v>
      </c>
      <c r="D16" t="s">
        <v>176</v>
      </c>
      <c r="E16" t="s">
        <v>177</v>
      </c>
      <c r="F16" t="s">
        <v>177</v>
      </c>
      <c r="G16" t="s">
        <v>178</v>
      </c>
      <c r="H16" t="s">
        <v>176</v>
      </c>
    </row>
    <row r="17" spans="1:14" x14ac:dyDescent="0.3">
      <c r="A17" t="s">
        <v>41</v>
      </c>
      <c r="B17" s="1">
        <v>2016</v>
      </c>
      <c r="C17" t="s">
        <v>178</v>
      </c>
      <c r="D17" t="s">
        <v>176</v>
      </c>
      <c r="E17" t="s">
        <v>177</v>
      </c>
      <c r="F17" t="s">
        <v>177</v>
      </c>
      <c r="G17" t="s">
        <v>178</v>
      </c>
      <c r="H17" t="s">
        <v>176</v>
      </c>
    </row>
    <row r="18" spans="1:14" x14ac:dyDescent="0.3">
      <c r="A18" t="s">
        <v>34</v>
      </c>
      <c r="B18" s="1">
        <v>2016</v>
      </c>
      <c r="C18" t="s">
        <v>178</v>
      </c>
      <c r="D18" t="s">
        <v>176</v>
      </c>
      <c r="E18" t="s">
        <v>177</v>
      </c>
      <c r="F18" t="s">
        <v>177</v>
      </c>
      <c r="G18" t="s">
        <v>178</v>
      </c>
      <c r="H18" t="s">
        <v>176</v>
      </c>
    </row>
    <row r="19" spans="1:14" x14ac:dyDescent="0.3">
      <c r="A19" t="s">
        <v>148</v>
      </c>
      <c r="B19" s="1">
        <v>2016</v>
      </c>
      <c r="C19" t="s">
        <v>178</v>
      </c>
      <c r="D19" t="s">
        <v>176</v>
      </c>
      <c r="E19" t="s">
        <v>176</v>
      </c>
      <c r="F19" t="s">
        <v>178</v>
      </c>
      <c r="G19" t="s">
        <v>178</v>
      </c>
      <c r="H19" t="s">
        <v>178</v>
      </c>
      <c r="I19" t="s">
        <v>176</v>
      </c>
      <c r="J19" t="s">
        <v>178</v>
      </c>
      <c r="K19" t="s">
        <v>176</v>
      </c>
      <c r="L19" t="s">
        <v>176</v>
      </c>
      <c r="M19" t="s">
        <v>176</v>
      </c>
      <c r="N19" t="s">
        <v>177</v>
      </c>
    </row>
    <row r="20" spans="1:14" x14ac:dyDescent="0.3">
      <c r="A20" t="s">
        <v>147</v>
      </c>
      <c r="B20" s="1">
        <v>2016</v>
      </c>
      <c r="C20" t="s">
        <v>178</v>
      </c>
      <c r="D20" t="s">
        <v>176</v>
      </c>
      <c r="E20" t="s">
        <v>176</v>
      </c>
      <c r="F20" t="s">
        <v>178</v>
      </c>
      <c r="G20" t="s">
        <v>178</v>
      </c>
      <c r="H20" t="s">
        <v>178</v>
      </c>
      <c r="I20" t="s">
        <v>176</v>
      </c>
      <c r="J20" t="s">
        <v>178</v>
      </c>
      <c r="K20" t="s">
        <v>176</v>
      </c>
      <c r="L20" t="s">
        <v>176</v>
      </c>
      <c r="M20" t="s">
        <v>176</v>
      </c>
      <c r="N20" t="s">
        <v>177</v>
      </c>
    </row>
    <row r="21" spans="1:14" x14ac:dyDescent="0.3">
      <c r="A21" t="s">
        <v>146</v>
      </c>
      <c r="B21" s="1">
        <v>2016</v>
      </c>
      <c r="C21" t="s">
        <v>178</v>
      </c>
      <c r="D21" t="s">
        <v>176</v>
      </c>
      <c r="E21" t="s">
        <v>176</v>
      </c>
      <c r="F21" t="s">
        <v>178</v>
      </c>
      <c r="G21" t="s">
        <v>178</v>
      </c>
      <c r="H21" t="s">
        <v>178</v>
      </c>
      <c r="I21" t="s">
        <v>176</v>
      </c>
      <c r="J21" t="s">
        <v>178</v>
      </c>
      <c r="K21" t="s">
        <v>176</v>
      </c>
      <c r="L21" t="s">
        <v>176</v>
      </c>
      <c r="M21" t="s">
        <v>176</v>
      </c>
      <c r="N21" t="s">
        <v>177</v>
      </c>
    </row>
    <row r="22" spans="1:14" x14ac:dyDescent="0.3">
      <c r="A22" t="s">
        <v>144</v>
      </c>
      <c r="B22" s="1">
        <v>2016</v>
      </c>
      <c r="C22" t="s">
        <v>178</v>
      </c>
      <c r="D22" t="s">
        <v>176</v>
      </c>
      <c r="E22" t="s">
        <v>176</v>
      </c>
      <c r="F22" t="s">
        <v>178</v>
      </c>
      <c r="G22" t="s">
        <v>178</v>
      </c>
      <c r="H22" t="s">
        <v>178</v>
      </c>
      <c r="I22" t="s">
        <v>176</v>
      </c>
      <c r="J22" t="s">
        <v>178</v>
      </c>
      <c r="K22" t="s">
        <v>176</v>
      </c>
      <c r="L22" t="s">
        <v>176</v>
      </c>
      <c r="M22" t="s">
        <v>176</v>
      </c>
      <c r="N22" t="s">
        <v>177</v>
      </c>
    </row>
    <row r="23" spans="1:14" x14ac:dyDescent="0.3">
      <c r="A23" t="s">
        <v>42</v>
      </c>
      <c r="B23" s="1">
        <v>2016</v>
      </c>
      <c r="C23" t="s">
        <v>178</v>
      </c>
      <c r="D23" t="s">
        <v>176</v>
      </c>
      <c r="E23" t="s">
        <v>176</v>
      </c>
      <c r="F23" t="s">
        <v>178</v>
      </c>
      <c r="G23" t="s">
        <v>178</v>
      </c>
      <c r="H23" t="s">
        <v>178</v>
      </c>
      <c r="I23" t="s">
        <v>176</v>
      </c>
      <c r="J23" t="s">
        <v>178</v>
      </c>
      <c r="K23" t="s">
        <v>176</v>
      </c>
      <c r="L23" t="s">
        <v>176</v>
      </c>
      <c r="M23" t="s">
        <v>176</v>
      </c>
      <c r="N23" t="s">
        <v>177</v>
      </c>
    </row>
    <row r="24" spans="1:14" x14ac:dyDescent="0.3">
      <c r="A24" t="s">
        <v>55</v>
      </c>
      <c r="B24" s="1">
        <v>2016</v>
      </c>
      <c r="C24" t="s">
        <v>178</v>
      </c>
      <c r="D24" t="s">
        <v>176</v>
      </c>
      <c r="E24" t="s">
        <v>176</v>
      </c>
      <c r="F24" t="s">
        <v>178</v>
      </c>
      <c r="G24" t="s">
        <v>178</v>
      </c>
      <c r="H24" t="s">
        <v>178</v>
      </c>
      <c r="I24" t="s">
        <v>176</v>
      </c>
      <c r="J24" t="s">
        <v>178</v>
      </c>
      <c r="K24" t="s">
        <v>176</v>
      </c>
      <c r="L24" t="s">
        <v>176</v>
      </c>
      <c r="M24" t="s">
        <v>176</v>
      </c>
      <c r="N24" t="s">
        <v>177</v>
      </c>
    </row>
    <row r="25" spans="1:14" x14ac:dyDescent="0.3">
      <c r="A25" t="s">
        <v>120</v>
      </c>
      <c r="B25" s="1">
        <v>2017</v>
      </c>
      <c r="C25" t="s">
        <v>178</v>
      </c>
      <c r="D25" t="s">
        <v>176</v>
      </c>
      <c r="E25" t="s">
        <v>176</v>
      </c>
      <c r="F25" t="s">
        <v>177</v>
      </c>
      <c r="G25" t="s">
        <v>177</v>
      </c>
      <c r="H25" t="s">
        <v>178</v>
      </c>
      <c r="I25" t="s">
        <v>176</v>
      </c>
    </row>
    <row r="26" spans="1:14" x14ac:dyDescent="0.3">
      <c r="A26" t="s">
        <v>170</v>
      </c>
      <c r="B26" s="1">
        <v>2017</v>
      </c>
      <c r="C26" t="s">
        <v>178</v>
      </c>
      <c r="D26" t="s">
        <v>176</v>
      </c>
      <c r="E26" t="s">
        <v>176</v>
      </c>
      <c r="F26" t="s">
        <v>177</v>
      </c>
      <c r="G26" t="s">
        <v>177</v>
      </c>
      <c r="H26" t="s">
        <v>178</v>
      </c>
      <c r="I26" t="s">
        <v>176</v>
      </c>
      <c r="J26" t="s">
        <v>177</v>
      </c>
    </row>
    <row r="27" spans="1:14" x14ac:dyDescent="0.3">
      <c r="A27" t="s">
        <v>122</v>
      </c>
      <c r="B27" s="1">
        <v>2017</v>
      </c>
      <c r="C27" t="s">
        <v>178</v>
      </c>
      <c r="D27" t="s">
        <v>176</v>
      </c>
      <c r="E27" t="s">
        <v>176</v>
      </c>
      <c r="F27" t="s">
        <v>178</v>
      </c>
      <c r="G27" t="s">
        <v>178</v>
      </c>
      <c r="H27" t="s">
        <v>178</v>
      </c>
      <c r="I27" t="s">
        <v>176</v>
      </c>
      <c r="J27" t="s">
        <v>178</v>
      </c>
      <c r="K27" t="s">
        <v>176</v>
      </c>
      <c r="L27" t="s">
        <v>176</v>
      </c>
      <c r="M27" t="s">
        <v>176</v>
      </c>
      <c r="N27" t="s">
        <v>177</v>
      </c>
    </row>
    <row r="28" spans="1:14" x14ac:dyDescent="0.3">
      <c r="A28" t="s">
        <v>119</v>
      </c>
      <c r="B28" s="1">
        <v>2017</v>
      </c>
      <c r="C28" t="s">
        <v>178</v>
      </c>
      <c r="D28" t="s">
        <v>176</v>
      </c>
      <c r="E28" t="s">
        <v>176</v>
      </c>
      <c r="F28" t="s">
        <v>178</v>
      </c>
      <c r="G28" t="s">
        <v>178</v>
      </c>
      <c r="H28" t="s">
        <v>178</v>
      </c>
      <c r="I28" t="s">
        <v>176</v>
      </c>
      <c r="J28" t="s">
        <v>178</v>
      </c>
      <c r="K28" t="s">
        <v>176</v>
      </c>
      <c r="L28" t="s">
        <v>176</v>
      </c>
      <c r="M28" t="s">
        <v>176</v>
      </c>
      <c r="N28" t="s">
        <v>177</v>
      </c>
    </row>
    <row r="29" spans="1:14" x14ac:dyDescent="0.3">
      <c r="A29" t="s">
        <v>172</v>
      </c>
      <c r="B29" s="1">
        <v>2017</v>
      </c>
      <c r="C29" t="s">
        <v>178</v>
      </c>
      <c r="D29" t="s">
        <v>176</v>
      </c>
      <c r="E29" t="s">
        <v>176</v>
      </c>
      <c r="F29" t="s">
        <v>178</v>
      </c>
      <c r="G29" t="s">
        <v>178</v>
      </c>
      <c r="H29" t="s">
        <v>178</v>
      </c>
      <c r="I29" t="s">
        <v>176</v>
      </c>
      <c r="J29" t="s">
        <v>178</v>
      </c>
      <c r="K29" t="s">
        <v>176</v>
      </c>
      <c r="L29" t="s">
        <v>176</v>
      </c>
      <c r="M29" t="s">
        <v>176</v>
      </c>
      <c r="N29" t="s">
        <v>177</v>
      </c>
    </row>
    <row r="30" spans="1:14" x14ac:dyDescent="0.3">
      <c r="A30" t="s">
        <v>173</v>
      </c>
      <c r="B30" s="1">
        <v>2017</v>
      </c>
      <c r="C30" t="s">
        <v>178</v>
      </c>
      <c r="D30" t="s">
        <v>176</v>
      </c>
      <c r="E30" t="s">
        <v>176</v>
      </c>
      <c r="F30" t="s">
        <v>178</v>
      </c>
      <c r="G30" t="s">
        <v>178</v>
      </c>
      <c r="H30" t="s">
        <v>178</v>
      </c>
      <c r="I30" t="s">
        <v>176</v>
      </c>
      <c r="J30" t="s">
        <v>178</v>
      </c>
      <c r="K30" t="s">
        <v>176</v>
      </c>
      <c r="L30" t="s">
        <v>176</v>
      </c>
      <c r="M30" t="s">
        <v>176</v>
      </c>
      <c r="N30" t="s">
        <v>177</v>
      </c>
    </row>
    <row r="31" spans="1:14" x14ac:dyDescent="0.3">
      <c r="A31" t="s">
        <v>69</v>
      </c>
      <c r="B31" s="1">
        <v>2018</v>
      </c>
      <c r="C31" t="s">
        <v>178</v>
      </c>
      <c r="D31" t="s">
        <v>176</v>
      </c>
      <c r="E31" t="s">
        <v>176</v>
      </c>
      <c r="F31" t="s">
        <v>178</v>
      </c>
      <c r="G31" t="s">
        <v>176</v>
      </c>
      <c r="H31" t="s">
        <v>178</v>
      </c>
      <c r="I31" t="s">
        <v>176</v>
      </c>
      <c r="J31" t="s">
        <v>178</v>
      </c>
      <c r="K31" t="s">
        <v>176</v>
      </c>
      <c r="L31" t="s">
        <v>176</v>
      </c>
      <c r="M31" t="s">
        <v>176</v>
      </c>
      <c r="N31" t="s">
        <v>177</v>
      </c>
    </row>
    <row r="32" spans="1:14" x14ac:dyDescent="0.3">
      <c r="A32" t="s">
        <v>117</v>
      </c>
      <c r="B32" s="1">
        <v>2018</v>
      </c>
      <c r="C32" t="s">
        <v>178</v>
      </c>
      <c r="D32" t="s">
        <v>176</v>
      </c>
      <c r="E32" t="s">
        <v>176</v>
      </c>
      <c r="F32" t="s">
        <v>178</v>
      </c>
      <c r="G32" t="s">
        <v>176</v>
      </c>
      <c r="H32" t="s">
        <v>178</v>
      </c>
      <c r="I32" t="s">
        <v>176</v>
      </c>
      <c r="J32" t="s">
        <v>178</v>
      </c>
      <c r="K32" t="s">
        <v>176</v>
      </c>
      <c r="L32" t="s">
        <v>176</v>
      </c>
      <c r="M32" t="s">
        <v>176</v>
      </c>
      <c r="N32" t="s">
        <v>177</v>
      </c>
    </row>
    <row r="33" spans="1:15" x14ac:dyDescent="0.3">
      <c r="A33" t="s">
        <v>89</v>
      </c>
      <c r="B33" s="1">
        <v>2018</v>
      </c>
      <c r="C33" t="s">
        <v>178</v>
      </c>
      <c r="D33" t="s">
        <v>176</v>
      </c>
      <c r="E33" t="s">
        <v>176</v>
      </c>
      <c r="F33" t="s">
        <v>178</v>
      </c>
      <c r="G33" t="s">
        <v>176</v>
      </c>
      <c r="H33" t="s">
        <v>178</v>
      </c>
      <c r="I33" t="s">
        <v>176</v>
      </c>
      <c r="J33" t="s">
        <v>178</v>
      </c>
      <c r="K33" t="s">
        <v>176</v>
      </c>
      <c r="L33" t="s">
        <v>176</v>
      </c>
      <c r="M33" t="s">
        <v>176</v>
      </c>
      <c r="N33" t="s">
        <v>177</v>
      </c>
    </row>
    <row r="34" spans="1:15" x14ac:dyDescent="0.3">
      <c r="A34" t="s">
        <v>152</v>
      </c>
      <c r="B34" s="1">
        <v>2018</v>
      </c>
      <c r="C34" t="s">
        <v>178</v>
      </c>
      <c r="D34" t="s">
        <v>176</v>
      </c>
      <c r="E34" t="s">
        <v>176</v>
      </c>
      <c r="F34" t="s">
        <v>178</v>
      </c>
      <c r="G34" t="s">
        <v>176</v>
      </c>
      <c r="H34" t="s">
        <v>178</v>
      </c>
      <c r="I34" t="s">
        <v>176</v>
      </c>
      <c r="J34" t="s">
        <v>178</v>
      </c>
      <c r="K34" t="s">
        <v>176</v>
      </c>
      <c r="L34" t="s">
        <v>176</v>
      </c>
      <c r="M34" t="s">
        <v>176</v>
      </c>
      <c r="N34" t="s">
        <v>177</v>
      </c>
    </row>
    <row r="35" spans="1:15" x14ac:dyDescent="0.3">
      <c r="A35" t="s">
        <v>168</v>
      </c>
      <c r="B35" s="1">
        <v>2019</v>
      </c>
      <c r="C35" t="s">
        <v>178</v>
      </c>
      <c r="D35" t="s">
        <v>176</v>
      </c>
      <c r="E35" t="s">
        <v>176</v>
      </c>
      <c r="F35" t="s">
        <v>178</v>
      </c>
      <c r="G35" t="s">
        <v>176</v>
      </c>
      <c r="H35" t="s">
        <v>178</v>
      </c>
      <c r="I35" t="s">
        <v>176</v>
      </c>
      <c r="J35" t="s">
        <v>178</v>
      </c>
      <c r="K35" t="s">
        <v>176</v>
      </c>
      <c r="L35" t="s">
        <v>176</v>
      </c>
      <c r="M35" t="s">
        <v>176</v>
      </c>
      <c r="N35" t="s">
        <v>177</v>
      </c>
    </row>
    <row r="36" spans="1:15" x14ac:dyDescent="0.3">
      <c r="A36" t="s">
        <v>102</v>
      </c>
      <c r="B36" s="1">
        <v>2019</v>
      </c>
      <c r="C36" t="s">
        <v>178</v>
      </c>
      <c r="D36" t="s">
        <v>176</v>
      </c>
      <c r="E36" t="s">
        <v>176</v>
      </c>
      <c r="F36" t="s">
        <v>178</v>
      </c>
      <c r="G36" t="s">
        <v>176</v>
      </c>
      <c r="H36" t="s">
        <v>178</v>
      </c>
      <c r="I36" t="s">
        <v>176</v>
      </c>
      <c r="J36" t="s">
        <v>178</v>
      </c>
      <c r="K36" t="s">
        <v>176</v>
      </c>
      <c r="L36" t="s">
        <v>176</v>
      </c>
      <c r="M36" t="s">
        <v>176</v>
      </c>
      <c r="N36" t="s">
        <v>177</v>
      </c>
    </row>
    <row r="37" spans="1:15" x14ac:dyDescent="0.3">
      <c r="A37" t="s">
        <v>97</v>
      </c>
      <c r="B37" s="1">
        <v>2019</v>
      </c>
      <c r="C37" t="s">
        <v>178</v>
      </c>
      <c r="D37" t="s">
        <v>176</v>
      </c>
      <c r="E37" t="s">
        <v>176</v>
      </c>
      <c r="F37" t="s">
        <v>178</v>
      </c>
      <c r="G37" t="s">
        <v>176</v>
      </c>
      <c r="H37" t="s">
        <v>178</v>
      </c>
      <c r="I37" t="s">
        <v>176</v>
      </c>
      <c r="J37" t="s">
        <v>178</v>
      </c>
      <c r="K37" t="s">
        <v>176</v>
      </c>
      <c r="L37" t="s">
        <v>176</v>
      </c>
      <c r="M37" t="s">
        <v>176</v>
      </c>
      <c r="N37" t="s">
        <v>177</v>
      </c>
    </row>
    <row r="38" spans="1:15" x14ac:dyDescent="0.3">
      <c r="A38" t="s">
        <v>118</v>
      </c>
      <c r="B38" s="1">
        <v>2019</v>
      </c>
      <c r="C38" t="s">
        <v>178</v>
      </c>
      <c r="D38" t="s">
        <v>176</v>
      </c>
      <c r="E38" t="s">
        <v>176</v>
      </c>
      <c r="F38" t="s">
        <v>178</v>
      </c>
      <c r="G38" t="s">
        <v>176</v>
      </c>
      <c r="H38" t="s">
        <v>178</v>
      </c>
      <c r="I38" t="s">
        <v>176</v>
      </c>
      <c r="J38" t="s">
        <v>178</v>
      </c>
      <c r="K38" t="s">
        <v>176</v>
      </c>
      <c r="L38" t="s">
        <v>176</v>
      </c>
      <c r="M38" t="s">
        <v>176</v>
      </c>
      <c r="N38" t="s">
        <v>177</v>
      </c>
    </row>
    <row r="39" spans="1:15" x14ac:dyDescent="0.3">
      <c r="A39" t="s">
        <v>56</v>
      </c>
      <c r="B39" s="1" t="s">
        <v>684</v>
      </c>
      <c r="C39" t="s">
        <v>176</v>
      </c>
      <c r="D39" t="s">
        <v>176</v>
      </c>
      <c r="E39" t="s">
        <v>176</v>
      </c>
      <c r="F39" t="s">
        <v>176</v>
      </c>
      <c r="G39" t="s">
        <v>176</v>
      </c>
      <c r="H39" t="s">
        <v>178</v>
      </c>
      <c r="I39" t="s">
        <v>176</v>
      </c>
      <c r="J39" t="s">
        <v>177</v>
      </c>
      <c r="K39" t="s">
        <v>177</v>
      </c>
      <c r="L39" t="s">
        <v>177</v>
      </c>
      <c r="M39" t="s">
        <v>177</v>
      </c>
      <c r="N39" t="s">
        <v>177</v>
      </c>
      <c r="O39" t="s">
        <v>176</v>
      </c>
    </row>
    <row r="40" spans="1:15" x14ac:dyDescent="0.3">
      <c r="A40" t="s">
        <v>153</v>
      </c>
      <c r="B40" s="1" t="s">
        <v>684</v>
      </c>
      <c r="C40" t="s">
        <v>176</v>
      </c>
      <c r="D40" t="s">
        <v>176</v>
      </c>
      <c r="E40" t="s">
        <v>176</v>
      </c>
      <c r="F40" t="s">
        <v>176</v>
      </c>
      <c r="G40" t="s">
        <v>176</v>
      </c>
      <c r="H40" t="s">
        <v>178</v>
      </c>
      <c r="I40" t="s">
        <v>176</v>
      </c>
      <c r="J40" t="s">
        <v>177</v>
      </c>
      <c r="K40" t="s">
        <v>177</v>
      </c>
      <c r="L40" t="s">
        <v>177</v>
      </c>
      <c r="M40" t="s">
        <v>177</v>
      </c>
      <c r="N40" t="s">
        <v>177</v>
      </c>
      <c r="O40" t="s">
        <v>176</v>
      </c>
    </row>
    <row r="41" spans="1:15" x14ac:dyDescent="0.3">
      <c r="A41" t="s">
        <v>66</v>
      </c>
      <c r="B41" s="1" t="s">
        <v>684</v>
      </c>
      <c r="C41" t="s">
        <v>176</v>
      </c>
      <c r="D41" t="s">
        <v>176</v>
      </c>
      <c r="E41" t="s">
        <v>176</v>
      </c>
      <c r="F41" t="s">
        <v>176</v>
      </c>
      <c r="G41" t="s">
        <v>176</v>
      </c>
      <c r="H41" t="s">
        <v>178</v>
      </c>
      <c r="I41" t="s">
        <v>176</v>
      </c>
      <c r="J41" t="s">
        <v>177</v>
      </c>
      <c r="K41" t="s">
        <v>177</v>
      </c>
      <c r="L41" t="s">
        <v>177</v>
      </c>
      <c r="M41" t="s">
        <v>177</v>
      </c>
      <c r="N41" t="s">
        <v>177</v>
      </c>
      <c r="O41" t="s">
        <v>176</v>
      </c>
    </row>
    <row r="42" spans="1:15" x14ac:dyDescent="0.3">
      <c r="A42" t="s">
        <v>112</v>
      </c>
      <c r="B42" s="1" t="s">
        <v>684</v>
      </c>
      <c r="C42" t="s">
        <v>176</v>
      </c>
      <c r="D42" t="s">
        <v>176</v>
      </c>
      <c r="E42" t="s">
        <v>176</v>
      </c>
      <c r="F42" t="s">
        <v>176</v>
      </c>
      <c r="G42" t="s">
        <v>176</v>
      </c>
      <c r="H42" t="s">
        <v>177</v>
      </c>
      <c r="I42" t="s">
        <v>176</v>
      </c>
      <c r="J42" t="s">
        <v>177</v>
      </c>
      <c r="K42" t="s">
        <v>177</v>
      </c>
      <c r="L42" t="s">
        <v>177</v>
      </c>
      <c r="M42" t="s">
        <v>177</v>
      </c>
      <c r="N42" t="s">
        <v>177</v>
      </c>
      <c r="O42" t="s">
        <v>176</v>
      </c>
    </row>
    <row r="43" spans="1:15" x14ac:dyDescent="0.3">
      <c r="A43" t="s">
        <v>98</v>
      </c>
      <c r="B43" s="1" t="s">
        <v>684</v>
      </c>
      <c r="C43" t="s">
        <v>176</v>
      </c>
      <c r="D43" t="s">
        <v>176</v>
      </c>
      <c r="E43" t="s">
        <v>176</v>
      </c>
      <c r="F43" t="s">
        <v>176</v>
      </c>
      <c r="G43" t="s">
        <v>176</v>
      </c>
      <c r="H43" t="s">
        <v>177</v>
      </c>
      <c r="I43" t="s">
        <v>176</v>
      </c>
      <c r="J43" t="s">
        <v>177</v>
      </c>
      <c r="K43" t="s">
        <v>177</v>
      </c>
      <c r="L43" t="s">
        <v>177</v>
      </c>
      <c r="M43" t="s">
        <v>177</v>
      </c>
      <c r="N43" t="s">
        <v>177</v>
      </c>
      <c r="O43" t="s">
        <v>176</v>
      </c>
    </row>
    <row r="44" spans="1:15" x14ac:dyDescent="0.3">
      <c r="A44" t="s">
        <v>82</v>
      </c>
      <c r="B44" s="1" t="s">
        <v>684</v>
      </c>
      <c r="C44" t="s">
        <v>176</v>
      </c>
      <c r="D44" t="s">
        <v>176</v>
      </c>
      <c r="E44" t="s">
        <v>176</v>
      </c>
      <c r="F44" t="s">
        <v>176</v>
      </c>
      <c r="G44" t="s">
        <v>176</v>
      </c>
      <c r="H44" t="s">
        <v>177</v>
      </c>
      <c r="I44" t="s">
        <v>176</v>
      </c>
      <c r="J44" t="s">
        <v>177</v>
      </c>
      <c r="K44" t="s">
        <v>177</v>
      </c>
      <c r="L44" t="s">
        <v>177</v>
      </c>
      <c r="M44" t="s">
        <v>177</v>
      </c>
      <c r="N44" t="s">
        <v>177</v>
      </c>
      <c r="O44" t="s">
        <v>176</v>
      </c>
    </row>
    <row r="45" spans="1:15" x14ac:dyDescent="0.3">
      <c r="A45" t="s">
        <v>155</v>
      </c>
      <c r="B45" s="1" t="s">
        <v>684</v>
      </c>
      <c r="C45" t="s">
        <v>176</v>
      </c>
      <c r="D45" t="s">
        <v>176</v>
      </c>
      <c r="E45" t="s">
        <v>176</v>
      </c>
      <c r="F45" t="s">
        <v>176</v>
      </c>
      <c r="G45" t="s">
        <v>176</v>
      </c>
      <c r="H45" t="s">
        <v>177</v>
      </c>
      <c r="I45" t="s">
        <v>176</v>
      </c>
      <c r="J45" t="s">
        <v>177</v>
      </c>
      <c r="K45" t="s">
        <v>177</v>
      </c>
      <c r="L45" t="s">
        <v>177</v>
      </c>
      <c r="M45" t="s">
        <v>177</v>
      </c>
      <c r="N45" t="s">
        <v>177</v>
      </c>
      <c r="O45" t="s">
        <v>176</v>
      </c>
    </row>
    <row r="46" spans="1:15" x14ac:dyDescent="0.3">
      <c r="A46" t="s">
        <v>83</v>
      </c>
      <c r="B46" s="1" t="s">
        <v>684</v>
      </c>
      <c r="C46" t="s">
        <v>176</v>
      </c>
      <c r="D46" t="s">
        <v>176</v>
      </c>
      <c r="E46" t="s">
        <v>176</v>
      </c>
      <c r="F46" t="s">
        <v>176</v>
      </c>
      <c r="G46" t="s">
        <v>176</v>
      </c>
      <c r="H46" t="s">
        <v>177</v>
      </c>
      <c r="I46" t="s">
        <v>176</v>
      </c>
      <c r="J46" t="s">
        <v>177</v>
      </c>
      <c r="K46" t="s">
        <v>177</v>
      </c>
      <c r="L46" t="s">
        <v>177</v>
      </c>
      <c r="M46" t="s">
        <v>177</v>
      </c>
      <c r="N46" t="s">
        <v>177</v>
      </c>
      <c r="O46" t="s">
        <v>176</v>
      </c>
    </row>
    <row r="47" spans="1:15" x14ac:dyDescent="0.3">
      <c r="A47" t="s">
        <v>31</v>
      </c>
      <c r="B47" s="1" t="s">
        <v>684</v>
      </c>
      <c r="C47" t="s">
        <v>176</v>
      </c>
      <c r="D47" t="s">
        <v>176</v>
      </c>
      <c r="E47" t="s">
        <v>176</v>
      </c>
      <c r="F47" t="s">
        <v>176</v>
      </c>
      <c r="G47" t="s">
        <v>176</v>
      </c>
      <c r="H47" t="s">
        <v>176</v>
      </c>
      <c r="I47" t="s">
        <v>176</v>
      </c>
      <c r="J47" t="s">
        <v>176</v>
      </c>
      <c r="K47" t="s">
        <v>177</v>
      </c>
      <c r="L47" t="s">
        <v>177</v>
      </c>
      <c r="M47" t="s">
        <v>177</v>
      </c>
      <c r="N47" t="s">
        <v>177</v>
      </c>
      <c r="O47" t="s">
        <v>176</v>
      </c>
    </row>
    <row r="48" spans="1:15" x14ac:dyDescent="0.3">
      <c r="A48" t="s">
        <v>150</v>
      </c>
      <c r="B48" s="1">
        <v>2020</v>
      </c>
      <c r="C48" t="s">
        <v>176</v>
      </c>
      <c r="D48" t="s">
        <v>176</v>
      </c>
      <c r="E48" t="s">
        <v>176</v>
      </c>
      <c r="F48" t="s">
        <v>176</v>
      </c>
      <c r="G48" t="s">
        <v>176</v>
      </c>
      <c r="H48" t="s">
        <v>178</v>
      </c>
      <c r="I48" t="s">
        <v>176</v>
      </c>
      <c r="J48" t="s">
        <v>177</v>
      </c>
      <c r="K48" t="s">
        <v>177</v>
      </c>
      <c r="L48" t="s">
        <v>177</v>
      </c>
      <c r="M48" t="s">
        <v>177</v>
      </c>
      <c r="N48" t="s">
        <v>177</v>
      </c>
      <c r="O48" t="s">
        <v>176</v>
      </c>
    </row>
    <row r="49" spans="1:15" x14ac:dyDescent="0.3">
      <c r="A49" t="s">
        <v>14</v>
      </c>
      <c r="B49" s="1" t="s">
        <v>681</v>
      </c>
      <c r="C49" t="s">
        <v>176</v>
      </c>
      <c r="D49" t="s">
        <v>176</v>
      </c>
      <c r="E49" t="s">
        <v>176</v>
      </c>
      <c r="F49" t="s">
        <v>176</v>
      </c>
      <c r="G49" t="s">
        <v>176</v>
      </c>
      <c r="H49" t="s">
        <v>176</v>
      </c>
      <c r="I49" t="s">
        <v>176</v>
      </c>
      <c r="J49" t="s">
        <v>176</v>
      </c>
      <c r="K49" t="s">
        <v>177</v>
      </c>
      <c r="L49" t="s">
        <v>177</v>
      </c>
      <c r="M49" t="s">
        <v>177</v>
      </c>
      <c r="N49" t="s">
        <v>177</v>
      </c>
      <c r="O49" t="s">
        <v>176</v>
      </c>
    </row>
    <row r="50" spans="1:15" x14ac:dyDescent="0.3">
      <c r="A50" t="s">
        <v>141</v>
      </c>
      <c r="B50" s="1" t="s">
        <v>681</v>
      </c>
      <c r="C50" t="s">
        <v>176</v>
      </c>
      <c r="D50" t="s">
        <v>176</v>
      </c>
      <c r="E50" t="s">
        <v>176</v>
      </c>
      <c r="F50" t="s">
        <v>176</v>
      </c>
      <c r="G50" t="s">
        <v>176</v>
      </c>
      <c r="H50" t="s">
        <v>176</v>
      </c>
      <c r="I50" t="s">
        <v>176</v>
      </c>
      <c r="J50" t="s">
        <v>176</v>
      </c>
      <c r="K50" t="s">
        <v>177</v>
      </c>
      <c r="L50" t="s">
        <v>177</v>
      </c>
      <c r="M50" t="s">
        <v>177</v>
      </c>
      <c r="N50" t="s">
        <v>177</v>
      </c>
      <c r="O50" t="s">
        <v>176</v>
      </c>
    </row>
    <row r="51" spans="1:15" x14ac:dyDescent="0.3">
      <c r="A51" t="s">
        <v>143</v>
      </c>
      <c r="B51" s="1" t="s">
        <v>681</v>
      </c>
      <c r="C51" t="s">
        <v>176</v>
      </c>
      <c r="D51" t="s">
        <v>176</v>
      </c>
      <c r="E51" t="s">
        <v>176</v>
      </c>
      <c r="F51" t="s">
        <v>176</v>
      </c>
      <c r="G51" t="s">
        <v>176</v>
      </c>
      <c r="H51" t="s">
        <v>176</v>
      </c>
      <c r="I51" t="s">
        <v>176</v>
      </c>
      <c r="J51" t="s">
        <v>176</v>
      </c>
      <c r="K51" t="s">
        <v>177</v>
      </c>
      <c r="L51" t="s">
        <v>177</v>
      </c>
      <c r="M51" t="s">
        <v>177</v>
      </c>
      <c r="N51" t="s">
        <v>177</v>
      </c>
      <c r="O51" t="s">
        <v>176</v>
      </c>
    </row>
    <row r="52" spans="1:15" x14ac:dyDescent="0.3">
      <c r="A52" t="s">
        <v>60</v>
      </c>
      <c r="B52" s="1" t="s">
        <v>681</v>
      </c>
      <c r="C52" t="s">
        <v>176</v>
      </c>
      <c r="D52" t="s">
        <v>176</v>
      </c>
      <c r="E52" t="s">
        <v>176</v>
      </c>
      <c r="F52" t="s">
        <v>176</v>
      </c>
      <c r="G52" t="s">
        <v>176</v>
      </c>
      <c r="H52" t="s">
        <v>176</v>
      </c>
      <c r="I52" t="s">
        <v>176</v>
      </c>
      <c r="J52" t="s">
        <v>176</v>
      </c>
      <c r="K52" t="s">
        <v>177</v>
      </c>
      <c r="L52" t="s">
        <v>177</v>
      </c>
      <c r="M52" t="s">
        <v>177</v>
      </c>
      <c r="N52" t="s">
        <v>177</v>
      </c>
      <c r="O52" t="s">
        <v>176</v>
      </c>
    </row>
    <row r="53" spans="1:15" x14ac:dyDescent="0.3">
      <c r="A53" t="s">
        <v>100</v>
      </c>
      <c r="B53" s="1" t="s">
        <v>681</v>
      </c>
      <c r="C53" t="s">
        <v>176</v>
      </c>
      <c r="D53" t="s">
        <v>176</v>
      </c>
      <c r="E53" t="s">
        <v>176</v>
      </c>
      <c r="F53" t="s">
        <v>176</v>
      </c>
      <c r="G53" t="s">
        <v>176</v>
      </c>
      <c r="H53" t="s">
        <v>176</v>
      </c>
      <c r="I53" t="s">
        <v>176</v>
      </c>
      <c r="J53" t="s">
        <v>176</v>
      </c>
      <c r="K53" t="s">
        <v>177</v>
      </c>
      <c r="L53" t="s">
        <v>177</v>
      </c>
      <c r="M53" t="s">
        <v>177</v>
      </c>
      <c r="N53" t="s">
        <v>177</v>
      </c>
      <c r="O53" t="s">
        <v>176</v>
      </c>
    </row>
    <row r="54" spans="1:15" x14ac:dyDescent="0.3">
      <c r="A54" t="s">
        <v>96</v>
      </c>
      <c r="B54" s="1" t="s">
        <v>681</v>
      </c>
      <c r="C54" t="s">
        <v>176</v>
      </c>
      <c r="D54" t="s">
        <v>176</v>
      </c>
      <c r="E54" t="s">
        <v>176</v>
      </c>
      <c r="F54" t="s">
        <v>176</v>
      </c>
      <c r="G54" t="s">
        <v>176</v>
      </c>
      <c r="H54" t="s">
        <v>176</v>
      </c>
      <c r="I54" t="s">
        <v>176</v>
      </c>
      <c r="J54" t="s">
        <v>176</v>
      </c>
      <c r="K54" t="s">
        <v>177</v>
      </c>
      <c r="L54" t="s">
        <v>177</v>
      </c>
      <c r="M54" t="s">
        <v>177</v>
      </c>
      <c r="N54" t="s">
        <v>177</v>
      </c>
      <c r="O54" t="s">
        <v>176</v>
      </c>
    </row>
    <row r="55" spans="1:15" x14ac:dyDescent="0.3">
      <c r="A55" t="s">
        <v>108</v>
      </c>
      <c r="B55" s="1" t="s">
        <v>681</v>
      </c>
      <c r="C55" t="s">
        <v>176</v>
      </c>
      <c r="D55" t="s">
        <v>176</v>
      </c>
      <c r="E55" t="s">
        <v>176</v>
      </c>
      <c r="F55" t="s">
        <v>176</v>
      </c>
      <c r="G55" t="s">
        <v>176</v>
      </c>
      <c r="H55" t="s">
        <v>176</v>
      </c>
      <c r="I55" t="s">
        <v>176</v>
      </c>
      <c r="J55" t="s">
        <v>176</v>
      </c>
      <c r="K55" t="s">
        <v>177</v>
      </c>
      <c r="L55" t="s">
        <v>177</v>
      </c>
      <c r="M55" t="s">
        <v>177</v>
      </c>
      <c r="N55" t="s">
        <v>177</v>
      </c>
      <c r="O55" t="s">
        <v>176</v>
      </c>
    </row>
    <row r="56" spans="1:15" x14ac:dyDescent="0.3">
      <c r="A56" t="s">
        <v>160</v>
      </c>
      <c r="B56" s="1" t="s">
        <v>681</v>
      </c>
      <c r="C56" t="s">
        <v>176</v>
      </c>
      <c r="D56" t="s">
        <v>176</v>
      </c>
      <c r="E56" t="s">
        <v>176</v>
      </c>
      <c r="F56" t="s">
        <v>176</v>
      </c>
      <c r="G56" t="s">
        <v>176</v>
      </c>
      <c r="H56" t="s">
        <v>176</v>
      </c>
      <c r="I56" t="s">
        <v>176</v>
      </c>
      <c r="J56" t="s">
        <v>176</v>
      </c>
      <c r="K56" t="s">
        <v>177</v>
      </c>
      <c r="L56" t="s">
        <v>177</v>
      </c>
      <c r="M56" t="s">
        <v>177</v>
      </c>
      <c r="N56" t="s">
        <v>177</v>
      </c>
      <c r="O56" t="s">
        <v>176</v>
      </c>
    </row>
    <row r="57" spans="1:15" x14ac:dyDescent="0.3">
      <c r="A57" t="s">
        <v>165</v>
      </c>
      <c r="B57" s="1" t="s">
        <v>681</v>
      </c>
      <c r="C57" t="s">
        <v>176</v>
      </c>
      <c r="D57" t="s">
        <v>176</v>
      </c>
      <c r="E57" t="s">
        <v>176</v>
      </c>
      <c r="F57" t="s">
        <v>176</v>
      </c>
      <c r="G57" t="s">
        <v>176</v>
      </c>
      <c r="H57" t="s">
        <v>176</v>
      </c>
      <c r="I57" t="s">
        <v>176</v>
      </c>
      <c r="J57" t="s">
        <v>176</v>
      </c>
      <c r="K57" t="s">
        <v>177</v>
      </c>
      <c r="L57" t="s">
        <v>177</v>
      </c>
      <c r="M57" t="s">
        <v>177</v>
      </c>
      <c r="N57" t="s">
        <v>177</v>
      </c>
      <c r="O57" t="s">
        <v>176</v>
      </c>
    </row>
    <row r="58" spans="1:15" x14ac:dyDescent="0.3">
      <c r="A58" t="s">
        <v>162</v>
      </c>
      <c r="B58" s="1" t="s">
        <v>681</v>
      </c>
      <c r="C58" t="s">
        <v>176</v>
      </c>
      <c r="D58" t="s">
        <v>176</v>
      </c>
      <c r="E58" t="s">
        <v>176</v>
      </c>
      <c r="F58" t="s">
        <v>176</v>
      </c>
      <c r="G58" t="s">
        <v>176</v>
      </c>
      <c r="H58" t="s">
        <v>176</v>
      </c>
      <c r="I58" t="s">
        <v>176</v>
      </c>
      <c r="J58" t="s">
        <v>176</v>
      </c>
      <c r="K58" t="s">
        <v>177</v>
      </c>
      <c r="L58" t="s">
        <v>177</v>
      </c>
      <c r="M58" t="s">
        <v>177</v>
      </c>
      <c r="N58" t="s">
        <v>177</v>
      </c>
      <c r="O58" t="s">
        <v>176</v>
      </c>
    </row>
    <row r="59" spans="1:15" x14ac:dyDescent="0.3">
      <c r="A59" t="s">
        <v>124</v>
      </c>
      <c r="B59" s="1" t="s">
        <v>681</v>
      </c>
      <c r="C59" t="s">
        <v>176</v>
      </c>
      <c r="D59" t="s">
        <v>176</v>
      </c>
      <c r="E59" t="s">
        <v>176</v>
      </c>
      <c r="F59" t="s">
        <v>176</v>
      </c>
      <c r="G59" t="s">
        <v>176</v>
      </c>
      <c r="H59" t="s">
        <v>176</v>
      </c>
      <c r="I59" t="s">
        <v>176</v>
      </c>
      <c r="J59" t="s">
        <v>176</v>
      </c>
      <c r="K59" t="s">
        <v>177</v>
      </c>
      <c r="L59" t="s">
        <v>177</v>
      </c>
      <c r="M59" t="s">
        <v>177</v>
      </c>
      <c r="N59" t="s">
        <v>177</v>
      </c>
      <c r="O59" t="s">
        <v>176</v>
      </c>
    </row>
    <row r="60" spans="1:15" x14ac:dyDescent="0.3">
      <c r="A60" t="s">
        <v>174</v>
      </c>
      <c r="B60" s="1" t="s">
        <v>681</v>
      </c>
      <c r="C60" t="s">
        <v>176</v>
      </c>
      <c r="D60" t="s">
        <v>176</v>
      </c>
      <c r="E60" t="s">
        <v>176</v>
      </c>
      <c r="F60" t="s">
        <v>176</v>
      </c>
      <c r="G60" t="s">
        <v>176</v>
      </c>
      <c r="H60" t="s">
        <v>176</v>
      </c>
      <c r="I60" t="s">
        <v>176</v>
      </c>
      <c r="J60" t="s">
        <v>176</v>
      </c>
      <c r="K60" t="s">
        <v>177</v>
      </c>
      <c r="L60" t="s">
        <v>177</v>
      </c>
      <c r="M60" t="s">
        <v>177</v>
      </c>
      <c r="N60" t="s">
        <v>177</v>
      </c>
      <c r="O60" t="s">
        <v>176</v>
      </c>
    </row>
    <row r="61" spans="1:15" x14ac:dyDescent="0.3">
      <c r="A61" t="s">
        <v>103</v>
      </c>
      <c r="B61" s="1" t="s">
        <v>687</v>
      </c>
      <c r="C61" t="s">
        <v>176</v>
      </c>
      <c r="D61" t="s">
        <v>176</v>
      </c>
      <c r="E61" t="s">
        <v>176</v>
      </c>
      <c r="F61" t="s">
        <v>176</v>
      </c>
      <c r="G61" t="s">
        <v>176</v>
      </c>
      <c r="H61" t="s">
        <v>176</v>
      </c>
      <c r="I61" t="s">
        <v>176</v>
      </c>
      <c r="J61" t="s">
        <v>176</v>
      </c>
      <c r="K61" t="s">
        <v>177</v>
      </c>
      <c r="L61" t="s">
        <v>177</v>
      </c>
      <c r="M61" t="s">
        <v>177</v>
      </c>
      <c r="N61" t="s">
        <v>177</v>
      </c>
      <c r="O61" t="s">
        <v>176</v>
      </c>
    </row>
    <row r="62" spans="1:15" x14ac:dyDescent="0.3">
      <c r="A62" t="s">
        <v>95</v>
      </c>
      <c r="B62" s="1" t="s">
        <v>687</v>
      </c>
      <c r="C62" t="s">
        <v>176</v>
      </c>
      <c r="D62" t="s">
        <v>176</v>
      </c>
      <c r="E62" t="s">
        <v>176</v>
      </c>
      <c r="F62" t="s">
        <v>176</v>
      </c>
      <c r="G62" t="s">
        <v>176</v>
      </c>
      <c r="H62" t="s">
        <v>176</v>
      </c>
      <c r="I62" t="s">
        <v>176</v>
      </c>
      <c r="J62" t="s">
        <v>176</v>
      </c>
      <c r="K62" t="s">
        <v>177</v>
      </c>
      <c r="L62" t="s">
        <v>177</v>
      </c>
      <c r="M62" t="s">
        <v>177</v>
      </c>
      <c r="N62" t="s">
        <v>177</v>
      </c>
      <c r="O62" t="s">
        <v>176</v>
      </c>
    </row>
    <row r="63" spans="1:15" x14ac:dyDescent="0.3">
      <c r="A63" t="s">
        <v>104</v>
      </c>
      <c r="B63" s="1" t="s">
        <v>687</v>
      </c>
      <c r="C63" t="s">
        <v>176</v>
      </c>
      <c r="D63" t="s">
        <v>176</v>
      </c>
      <c r="E63" t="s">
        <v>176</v>
      </c>
      <c r="F63" t="s">
        <v>176</v>
      </c>
      <c r="G63" t="s">
        <v>176</v>
      </c>
      <c r="H63" t="s">
        <v>176</v>
      </c>
      <c r="I63" t="s">
        <v>176</v>
      </c>
      <c r="J63" t="s">
        <v>176</v>
      </c>
      <c r="K63" t="s">
        <v>177</v>
      </c>
      <c r="L63" t="s">
        <v>177</v>
      </c>
      <c r="M63" t="s">
        <v>177</v>
      </c>
      <c r="N63" t="s">
        <v>177</v>
      </c>
      <c r="O63" t="s">
        <v>176</v>
      </c>
    </row>
    <row r="64" spans="1:15" x14ac:dyDescent="0.3">
      <c r="A64" t="s">
        <v>62</v>
      </c>
      <c r="B64" s="1" t="s">
        <v>687</v>
      </c>
      <c r="C64" t="s">
        <v>176</v>
      </c>
      <c r="D64" t="s">
        <v>176</v>
      </c>
      <c r="E64" t="s">
        <v>176</v>
      </c>
      <c r="F64" t="s">
        <v>176</v>
      </c>
      <c r="G64" t="s">
        <v>176</v>
      </c>
      <c r="H64" t="s">
        <v>176</v>
      </c>
      <c r="I64" t="s">
        <v>176</v>
      </c>
      <c r="J64" t="s">
        <v>176</v>
      </c>
      <c r="K64" t="s">
        <v>177</v>
      </c>
      <c r="L64" t="s">
        <v>177</v>
      </c>
      <c r="M64" t="s">
        <v>177</v>
      </c>
      <c r="N64" t="s">
        <v>177</v>
      </c>
      <c r="O64" t="s">
        <v>176</v>
      </c>
    </row>
    <row r="65" spans="1:15" x14ac:dyDescent="0.3">
      <c r="A65" t="s">
        <v>134</v>
      </c>
      <c r="B65" s="1" t="s">
        <v>687</v>
      </c>
      <c r="C65" t="s">
        <v>176</v>
      </c>
      <c r="D65" t="s">
        <v>176</v>
      </c>
      <c r="E65" t="s">
        <v>176</v>
      </c>
      <c r="F65" t="s">
        <v>176</v>
      </c>
      <c r="G65" t="s">
        <v>176</v>
      </c>
      <c r="H65" t="s">
        <v>176</v>
      </c>
      <c r="I65" t="s">
        <v>176</v>
      </c>
      <c r="J65" t="s">
        <v>176</v>
      </c>
      <c r="K65" t="s">
        <v>177</v>
      </c>
      <c r="L65" t="s">
        <v>177</v>
      </c>
      <c r="M65" t="s">
        <v>177</v>
      </c>
      <c r="N65" t="s">
        <v>177</v>
      </c>
      <c r="O65" t="s">
        <v>176</v>
      </c>
    </row>
    <row r="66" spans="1:15" x14ac:dyDescent="0.3">
      <c r="A66" t="s">
        <v>105</v>
      </c>
      <c r="B66" s="1" t="s">
        <v>687</v>
      </c>
      <c r="C66" t="s">
        <v>176</v>
      </c>
      <c r="D66" t="s">
        <v>176</v>
      </c>
      <c r="E66" t="s">
        <v>176</v>
      </c>
      <c r="F66" t="s">
        <v>176</v>
      </c>
      <c r="G66" t="s">
        <v>176</v>
      </c>
      <c r="H66" t="s">
        <v>176</v>
      </c>
      <c r="I66" t="s">
        <v>176</v>
      </c>
      <c r="J66" t="s">
        <v>176</v>
      </c>
      <c r="K66" t="s">
        <v>177</v>
      </c>
      <c r="L66" t="s">
        <v>177</v>
      </c>
      <c r="M66" t="s">
        <v>177</v>
      </c>
      <c r="N66" t="s">
        <v>177</v>
      </c>
      <c r="O66" t="s">
        <v>176</v>
      </c>
    </row>
    <row r="67" spans="1:15" x14ac:dyDescent="0.3">
      <c r="A67" t="s">
        <v>175</v>
      </c>
      <c r="B67" s="1" t="s">
        <v>687</v>
      </c>
      <c r="C67" t="s">
        <v>176</v>
      </c>
      <c r="D67" t="s">
        <v>176</v>
      </c>
      <c r="E67" t="s">
        <v>176</v>
      </c>
      <c r="F67" t="s">
        <v>176</v>
      </c>
      <c r="G67" t="s">
        <v>176</v>
      </c>
      <c r="H67" t="s">
        <v>176</v>
      </c>
      <c r="I67" t="s">
        <v>176</v>
      </c>
      <c r="J67" t="s">
        <v>176</v>
      </c>
      <c r="K67" t="s">
        <v>177</v>
      </c>
      <c r="L67" t="s">
        <v>177</v>
      </c>
      <c r="M67" t="s">
        <v>177</v>
      </c>
      <c r="N67" t="s">
        <v>177</v>
      </c>
      <c r="O67" t="s">
        <v>176</v>
      </c>
    </row>
    <row r="68" spans="1:15" x14ac:dyDescent="0.3">
      <c r="A68" t="s">
        <v>94</v>
      </c>
      <c r="B68" s="1" t="s">
        <v>687</v>
      </c>
      <c r="C68" t="s">
        <v>176</v>
      </c>
      <c r="D68" t="s">
        <v>176</v>
      </c>
      <c r="E68" t="s">
        <v>176</v>
      </c>
      <c r="F68" t="s">
        <v>176</v>
      </c>
      <c r="G68" t="s">
        <v>176</v>
      </c>
      <c r="H68" t="s">
        <v>176</v>
      </c>
      <c r="I68" t="s">
        <v>176</v>
      </c>
      <c r="J68" t="s">
        <v>176</v>
      </c>
      <c r="K68" t="s">
        <v>177</v>
      </c>
      <c r="L68" t="s">
        <v>177</v>
      </c>
      <c r="M68" t="s">
        <v>177</v>
      </c>
      <c r="N68" t="s">
        <v>177</v>
      </c>
      <c r="O68" t="s">
        <v>176</v>
      </c>
    </row>
    <row r="69" spans="1:15" x14ac:dyDescent="0.3">
      <c r="A69" t="s">
        <v>110</v>
      </c>
      <c r="B69" s="1" t="s">
        <v>687</v>
      </c>
      <c r="C69" t="s">
        <v>176</v>
      </c>
      <c r="D69" t="s">
        <v>176</v>
      </c>
      <c r="E69" t="s">
        <v>176</v>
      </c>
      <c r="F69" t="s">
        <v>176</v>
      </c>
      <c r="G69" t="s">
        <v>176</v>
      </c>
      <c r="H69" t="s">
        <v>176</v>
      </c>
      <c r="I69" t="s">
        <v>176</v>
      </c>
      <c r="J69" t="s">
        <v>176</v>
      </c>
      <c r="K69" t="s">
        <v>177</v>
      </c>
      <c r="L69" t="s">
        <v>177</v>
      </c>
      <c r="M69" t="s">
        <v>177</v>
      </c>
      <c r="N69" t="s">
        <v>177</v>
      </c>
      <c r="O69" t="s">
        <v>176</v>
      </c>
    </row>
    <row r="70" spans="1:15" x14ac:dyDescent="0.3">
      <c r="A70" t="s">
        <v>164</v>
      </c>
      <c r="B70" s="1" t="s">
        <v>687</v>
      </c>
      <c r="C70" t="s">
        <v>176</v>
      </c>
      <c r="D70" t="s">
        <v>176</v>
      </c>
      <c r="E70" t="s">
        <v>176</v>
      </c>
      <c r="F70" t="s">
        <v>176</v>
      </c>
      <c r="G70" t="s">
        <v>176</v>
      </c>
      <c r="H70" t="s">
        <v>176</v>
      </c>
      <c r="I70" t="s">
        <v>176</v>
      </c>
      <c r="J70" t="s">
        <v>176</v>
      </c>
      <c r="K70" t="s">
        <v>177</v>
      </c>
      <c r="L70" t="s">
        <v>177</v>
      </c>
      <c r="M70" t="s">
        <v>177</v>
      </c>
      <c r="N70" t="s">
        <v>177</v>
      </c>
      <c r="O70" t="s">
        <v>176</v>
      </c>
    </row>
    <row r="71" spans="1:15" x14ac:dyDescent="0.3">
      <c r="A71" t="s">
        <v>133</v>
      </c>
      <c r="B71" s="1" t="s">
        <v>687</v>
      </c>
      <c r="C71" t="s">
        <v>176</v>
      </c>
      <c r="D71" t="s">
        <v>176</v>
      </c>
      <c r="E71" t="s">
        <v>176</v>
      </c>
      <c r="F71" t="s">
        <v>176</v>
      </c>
      <c r="G71" t="s">
        <v>176</v>
      </c>
      <c r="H71" t="s">
        <v>176</v>
      </c>
      <c r="I71" t="s">
        <v>176</v>
      </c>
      <c r="J71" t="s">
        <v>176</v>
      </c>
      <c r="K71" t="s">
        <v>177</v>
      </c>
      <c r="L71" t="s">
        <v>177</v>
      </c>
      <c r="M71" t="s">
        <v>177</v>
      </c>
      <c r="N71" t="s">
        <v>177</v>
      </c>
      <c r="O71" t="s">
        <v>176</v>
      </c>
    </row>
    <row r="72" spans="1:15" x14ac:dyDescent="0.3">
      <c r="A72" t="s">
        <v>156</v>
      </c>
      <c r="B72" s="1" t="s">
        <v>687</v>
      </c>
      <c r="C72" t="s">
        <v>176</v>
      </c>
      <c r="D72" t="s">
        <v>176</v>
      </c>
      <c r="E72" t="s">
        <v>176</v>
      </c>
      <c r="F72" t="s">
        <v>176</v>
      </c>
      <c r="G72" t="s">
        <v>176</v>
      </c>
      <c r="H72" t="s">
        <v>176</v>
      </c>
      <c r="I72" t="s">
        <v>176</v>
      </c>
      <c r="J72" t="s">
        <v>176</v>
      </c>
      <c r="K72" t="s">
        <v>177</v>
      </c>
      <c r="L72" t="s">
        <v>177</v>
      </c>
      <c r="M72" t="s">
        <v>177</v>
      </c>
      <c r="N72" t="s">
        <v>177</v>
      </c>
      <c r="O72" t="s">
        <v>176</v>
      </c>
    </row>
    <row r="73" spans="1:15" x14ac:dyDescent="0.3">
      <c r="A73" t="s">
        <v>67</v>
      </c>
      <c r="B73" s="1" t="s">
        <v>683</v>
      </c>
      <c r="C73" t="s">
        <v>176</v>
      </c>
      <c r="D73" t="s">
        <v>176</v>
      </c>
      <c r="E73" t="s">
        <v>176</v>
      </c>
      <c r="F73" t="s">
        <v>176</v>
      </c>
      <c r="G73" t="s">
        <v>176</v>
      </c>
      <c r="H73" t="s">
        <v>176</v>
      </c>
      <c r="I73" t="s">
        <v>176</v>
      </c>
      <c r="J73" t="s">
        <v>176</v>
      </c>
      <c r="K73" t="s">
        <v>177</v>
      </c>
      <c r="L73" t="s">
        <v>177</v>
      </c>
      <c r="M73" t="s">
        <v>177</v>
      </c>
      <c r="N73" t="s">
        <v>177</v>
      </c>
      <c r="O73" t="s">
        <v>176</v>
      </c>
    </row>
    <row r="74" spans="1:15" x14ac:dyDescent="0.3">
      <c r="A74" t="s">
        <v>29</v>
      </c>
      <c r="B74" s="1" t="s">
        <v>683</v>
      </c>
      <c r="C74" t="s">
        <v>176</v>
      </c>
      <c r="D74" t="s">
        <v>176</v>
      </c>
      <c r="E74" t="s">
        <v>176</v>
      </c>
      <c r="F74" t="s">
        <v>176</v>
      </c>
      <c r="G74" t="s">
        <v>176</v>
      </c>
      <c r="H74" t="s">
        <v>176</v>
      </c>
      <c r="I74" t="s">
        <v>176</v>
      </c>
      <c r="J74" t="s">
        <v>176</v>
      </c>
      <c r="K74" t="s">
        <v>177</v>
      </c>
      <c r="L74" t="s">
        <v>177</v>
      </c>
      <c r="M74" t="s">
        <v>177</v>
      </c>
      <c r="N74" t="s">
        <v>177</v>
      </c>
      <c r="O74" t="s">
        <v>176</v>
      </c>
    </row>
    <row r="75" spans="1:15" x14ac:dyDescent="0.3">
      <c r="A75" t="s">
        <v>30</v>
      </c>
      <c r="B75" s="1" t="s">
        <v>683</v>
      </c>
      <c r="C75" t="s">
        <v>176</v>
      </c>
      <c r="D75" t="s">
        <v>176</v>
      </c>
      <c r="E75" t="s">
        <v>176</v>
      </c>
      <c r="F75" t="s">
        <v>176</v>
      </c>
      <c r="G75" t="s">
        <v>176</v>
      </c>
      <c r="H75" t="s">
        <v>176</v>
      </c>
      <c r="I75" t="s">
        <v>176</v>
      </c>
      <c r="J75" t="s">
        <v>176</v>
      </c>
      <c r="K75" t="s">
        <v>177</v>
      </c>
      <c r="L75" t="s">
        <v>177</v>
      </c>
      <c r="M75" t="s">
        <v>177</v>
      </c>
      <c r="N75" t="s">
        <v>177</v>
      </c>
      <c r="O75" t="s">
        <v>176</v>
      </c>
    </row>
    <row r="76" spans="1:15" x14ac:dyDescent="0.3">
      <c r="A76" t="s">
        <v>163</v>
      </c>
      <c r="B76" s="1" t="s">
        <v>683</v>
      </c>
      <c r="C76" t="s">
        <v>176</v>
      </c>
      <c r="D76" t="s">
        <v>176</v>
      </c>
      <c r="E76" t="s">
        <v>176</v>
      </c>
      <c r="F76" t="s">
        <v>176</v>
      </c>
      <c r="G76" t="s">
        <v>176</v>
      </c>
      <c r="H76" t="s">
        <v>176</v>
      </c>
      <c r="I76" t="s">
        <v>176</v>
      </c>
      <c r="J76" t="s">
        <v>176</v>
      </c>
      <c r="K76" t="s">
        <v>177</v>
      </c>
      <c r="L76" t="s">
        <v>177</v>
      </c>
      <c r="M76" t="s">
        <v>177</v>
      </c>
      <c r="N76" t="s">
        <v>177</v>
      </c>
      <c r="O76" t="s">
        <v>176</v>
      </c>
    </row>
    <row r="77" spans="1:15" x14ac:dyDescent="0.3">
      <c r="A77" t="s">
        <v>159</v>
      </c>
      <c r="B77" s="1" t="s">
        <v>683</v>
      </c>
      <c r="C77" t="s">
        <v>176</v>
      </c>
      <c r="D77" t="s">
        <v>176</v>
      </c>
      <c r="E77" t="s">
        <v>176</v>
      </c>
      <c r="F77" t="s">
        <v>176</v>
      </c>
      <c r="G77" t="s">
        <v>176</v>
      </c>
      <c r="H77" t="s">
        <v>176</v>
      </c>
      <c r="I77" t="s">
        <v>176</v>
      </c>
      <c r="J77" t="s">
        <v>176</v>
      </c>
      <c r="K77" t="s">
        <v>177</v>
      </c>
      <c r="L77" t="s">
        <v>177</v>
      </c>
      <c r="M77" t="s">
        <v>177</v>
      </c>
      <c r="N77" t="s">
        <v>177</v>
      </c>
      <c r="O77" t="s">
        <v>176</v>
      </c>
    </row>
    <row r="78" spans="1:15" x14ac:dyDescent="0.3">
      <c r="A78" t="s">
        <v>93</v>
      </c>
      <c r="B78" s="1" t="s">
        <v>683</v>
      </c>
      <c r="C78" t="s">
        <v>176</v>
      </c>
      <c r="D78" t="s">
        <v>176</v>
      </c>
      <c r="E78" t="s">
        <v>176</v>
      </c>
      <c r="F78" t="s">
        <v>176</v>
      </c>
      <c r="G78" t="s">
        <v>176</v>
      </c>
      <c r="H78" t="s">
        <v>176</v>
      </c>
      <c r="I78" t="s">
        <v>176</v>
      </c>
      <c r="J78" t="s">
        <v>176</v>
      </c>
      <c r="K78" t="s">
        <v>177</v>
      </c>
      <c r="L78" t="s">
        <v>177</v>
      </c>
      <c r="M78" t="s">
        <v>177</v>
      </c>
      <c r="N78" t="s">
        <v>177</v>
      </c>
      <c r="O78" t="s">
        <v>176</v>
      </c>
    </row>
    <row r="79" spans="1:15" x14ac:dyDescent="0.3">
      <c r="A79" t="s">
        <v>132</v>
      </c>
      <c r="B79" s="1" t="s">
        <v>683</v>
      </c>
      <c r="C79" t="s">
        <v>176</v>
      </c>
      <c r="D79" t="s">
        <v>176</v>
      </c>
      <c r="E79" t="s">
        <v>176</v>
      </c>
      <c r="F79" t="s">
        <v>176</v>
      </c>
      <c r="G79" t="s">
        <v>176</v>
      </c>
      <c r="H79" t="s">
        <v>176</v>
      </c>
      <c r="I79" t="s">
        <v>176</v>
      </c>
      <c r="J79" t="s">
        <v>176</v>
      </c>
      <c r="K79" t="s">
        <v>177</v>
      </c>
      <c r="L79" t="s">
        <v>177</v>
      </c>
      <c r="M79" t="s">
        <v>177</v>
      </c>
      <c r="N79" t="s">
        <v>177</v>
      </c>
      <c r="O79" t="s">
        <v>176</v>
      </c>
    </row>
    <row r="80" spans="1:15" x14ac:dyDescent="0.3">
      <c r="A80" t="s">
        <v>64</v>
      </c>
      <c r="B80" s="1" t="s">
        <v>683</v>
      </c>
      <c r="C80" t="s">
        <v>176</v>
      </c>
      <c r="D80" t="s">
        <v>176</v>
      </c>
      <c r="E80" t="s">
        <v>176</v>
      </c>
      <c r="F80" t="s">
        <v>176</v>
      </c>
      <c r="G80" t="s">
        <v>176</v>
      </c>
      <c r="H80" t="s">
        <v>176</v>
      </c>
      <c r="I80" t="s">
        <v>176</v>
      </c>
      <c r="J80" t="s">
        <v>176</v>
      </c>
      <c r="K80" t="s">
        <v>177</v>
      </c>
      <c r="L80" t="s">
        <v>177</v>
      </c>
      <c r="M80" t="s">
        <v>177</v>
      </c>
      <c r="N80" t="s">
        <v>177</v>
      </c>
      <c r="O80" t="s">
        <v>176</v>
      </c>
    </row>
    <row r="81" spans="1:15" x14ac:dyDescent="0.3">
      <c r="A81" t="s">
        <v>149</v>
      </c>
      <c r="B81" s="1" t="s">
        <v>683</v>
      </c>
      <c r="C81" t="s">
        <v>176</v>
      </c>
      <c r="D81" t="s">
        <v>176</v>
      </c>
      <c r="E81" t="s">
        <v>176</v>
      </c>
      <c r="F81" t="s">
        <v>176</v>
      </c>
      <c r="G81" t="s">
        <v>176</v>
      </c>
      <c r="H81" t="s">
        <v>176</v>
      </c>
      <c r="I81" t="s">
        <v>176</v>
      </c>
      <c r="J81" t="s">
        <v>176</v>
      </c>
      <c r="K81" t="s">
        <v>177</v>
      </c>
      <c r="L81" t="s">
        <v>177</v>
      </c>
      <c r="M81" t="s">
        <v>177</v>
      </c>
      <c r="N81" t="s">
        <v>177</v>
      </c>
      <c r="O81" t="s">
        <v>176</v>
      </c>
    </row>
    <row r="82" spans="1:15" x14ac:dyDescent="0.3">
      <c r="A82" t="s">
        <v>63</v>
      </c>
      <c r="B82" s="1" t="s">
        <v>683</v>
      </c>
      <c r="C82" t="s">
        <v>176</v>
      </c>
      <c r="D82" t="s">
        <v>176</v>
      </c>
      <c r="E82" t="s">
        <v>176</v>
      </c>
      <c r="F82" t="s">
        <v>176</v>
      </c>
      <c r="G82" t="s">
        <v>176</v>
      </c>
      <c r="H82" t="s">
        <v>176</v>
      </c>
      <c r="I82" t="s">
        <v>176</v>
      </c>
      <c r="J82" t="s">
        <v>176</v>
      </c>
      <c r="K82" t="s">
        <v>177</v>
      </c>
      <c r="L82" t="s">
        <v>177</v>
      </c>
      <c r="M82" t="s">
        <v>177</v>
      </c>
      <c r="N82" t="s">
        <v>177</v>
      </c>
      <c r="O82" t="s">
        <v>176</v>
      </c>
    </row>
    <row r="83" spans="1:15" x14ac:dyDescent="0.3">
      <c r="A83" t="s">
        <v>169</v>
      </c>
      <c r="B83" s="1" t="s">
        <v>683</v>
      </c>
      <c r="C83" t="s">
        <v>176</v>
      </c>
      <c r="D83" t="s">
        <v>176</v>
      </c>
      <c r="E83" t="s">
        <v>176</v>
      </c>
      <c r="F83" t="s">
        <v>176</v>
      </c>
      <c r="G83" t="s">
        <v>176</v>
      </c>
      <c r="H83" t="s">
        <v>176</v>
      </c>
      <c r="I83" t="s">
        <v>176</v>
      </c>
      <c r="J83" t="s">
        <v>176</v>
      </c>
      <c r="K83" t="s">
        <v>177</v>
      </c>
      <c r="L83" t="s">
        <v>177</v>
      </c>
      <c r="M83" t="s">
        <v>177</v>
      </c>
      <c r="N83" t="s">
        <v>177</v>
      </c>
      <c r="O83" t="s">
        <v>176</v>
      </c>
    </row>
    <row r="84" spans="1:15" x14ac:dyDescent="0.3">
      <c r="A84" t="s">
        <v>57</v>
      </c>
      <c r="B84" s="1" t="s">
        <v>683</v>
      </c>
      <c r="C84" t="s">
        <v>176</v>
      </c>
      <c r="D84" t="s">
        <v>176</v>
      </c>
      <c r="E84" t="s">
        <v>176</v>
      </c>
      <c r="F84" t="s">
        <v>176</v>
      </c>
      <c r="G84" t="s">
        <v>176</v>
      </c>
      <c r="H84" t="s">
        <v>176</v>
      </c>
      <c r="I84" t="s">
        <v>176</v>
      </c>
      <c r="J84" t="s">
        <v>176</v>
      </c>
      <c r="K84" t="s">
        <v>177</v>
      </c>
      <c r="L84" t="s">
        <v>177</v>
      </c>
      <c r="M84" t="s">
        <v>177</v>
      </c>
      <c r="N84" t="s">
        <v>177</v>
      </c>
      <c r="O84" t="s">
        <v>176</v>
      </c>
    </row>
    <row r="85" spans="1:15" x14ac:dyDescent="0.3">
      <c r="A85" t="s">
        <v>68</v>
      </c>
      <c r="B85" s="1" t="s">
        <v>685</v>
      </c>
      <c r="C85" t="s">
        <v>176</v>
      </c>
      <c r="D85" t="s">
        <v>176</v>
      </c>
      <c r="E85" t="s">
        <v>176</v>
      </c>
      <c r="F85" t="s">
        <v>176</v>
      </c>
      <c r="G85" t="s">
        <v>176</v>
      </c>
      <c r="H85" t="s">
        <v>176</v>
      </c>
      <c r="I85" t="s">
        <v>176</v>
      </c>
      <c r="J85" t="s">
        <v>176</v>
      </c>
      <c r="K85" t="s">
        <v>177</v>
      </c>
      <c r="L85" t="s">
        <v>177</v>
      </c>
      <c r="M85" t="s">
        <v>177</v>
      </c>
      <c r="N85" t="s">
        <v>177</v>
      </c>
      <c r="O85" t="s">
        <v>176</v>
      </c>
    </row>
    <row r="86" spans="1:15" x14ac:dyDescent="0.3">
      <c r="A86" t="s">
        <v>135</v>
      </c>
      <c r="B86" s="1" t="s">
        <v>685</v>
      </c>
      <c r="C86" t="s">
        <v>176</v>
      </c>
      <c r="D86" t="s">
        <v>176</v>
      </c>
      <c r="E86" t="s">
        <v>176</v>
      </c>
      <c r="F86" t="s">
        <v>176</v>
      </c>
      <c r="G86" t="s">
        <v>176</v>
      </c>
      <c r="H86" t="s">
        <v>176</v>
      </c>
      <c r="I86" t="s">
        <v>176</v>
      </c>
      <c r="J86" t="s">
        <v>176</v>
      </c>
      <c r="K86" t="s">
        <v>177</v>
      </c>
      <c r="L86" t="s">
        <v>177</v>
      </c>
      <c r="M86" t="s">
        <v>177</v>
      </c>
      <c r="N86" t="s">
        <v>177</v>
      </c>
      <c r="O86" t="s">
        <v>176</v>
      </c>
    </row>
    <row r="87" spans="1:15" x14ac:dyDescent="0.3">
      <c r="A87" t="s">
        <v>154</v>
      </c>
      <c r="B87" s="1" t="s">
        <v>685</v>
      </c>
      <c r="C87" t="s">
        <v>176</v>
      </c>
      <c r="D87" t="s">
        <v>176</v>
      </c>
      <c r="E87" t="s">
        <v>176</v>
      </c>
      <c r="F87" t="s">
        <v>176</v>
      </c>
      <c r="G87" t="s">
        <v>176</v>
      </c>
      <c r="H87" t="s">
        <v>176</v>
      </c>
      <c r="I87" t="s">
        <v>176</v>
      </c>
      <c r="J87" t="s">
        <v>176</v>
      </c>
      <c r="K87" t="s">
        <v>177</v>
      </c>
      <c r="L87" t="s">
        <v>177</v>
      </c>
      <c r="M87" t="s">
        <v>177</v>
      </c>
      <c r="N87" t="s">
        <v>177</v>
      </c>
      <c r="O87" t="s">
        <v>176</v>
      </c>
    </row>
    <row r="88" spans="1:15" x14ac:dyDescent="0.3">
      <c r="A88" t="s">
        <v>33</v>
      </c>
      <c r="B88" s="1" t="s">
        <v>685</v>
      </c>
      <c r="C88" t="s">
        <v>176</v>
      </c>
      <c r="D88" t="s">
        <v>176</v>
      </c>
      <c r="E88" t="s">
        <v>176</v>
      </c>
      <c r="F88" t="s">
        <v>176</v>
      </c>
      <c r="G88" t="s">
        <v>176</v>
      </c>
      <c r="H88" t="s">
        <v>176</v>
      </c>
      <c r="I88" t="s">
        <v>176</v>
      </c>
      <c r="J88" t="s">
        <v>176</v>
      </c>
      <c r="K88" t="s">
        <v>177</v>
      </c>
      <c r="L88" t="s">
        <v>177</v>
      </c>
      <c r="M88" t="s">
        <v>177</v>
      </c>
      <c r="N88" t="s">
        <v>177</v>
      </c>
      <c r="O88" t="s">
        <v>176</v>
      </c>
    </row>
    <row r="89" spans="1:15" x14ac:dyDescent="0.3">
      <c r="A89" t="s">
        <v>58</v>
      </c>
      <c r="B89" s="1" t="s">
        <v>685</v>
      </c>
      <c r="C89" t="s">
        <v>176</v>
      </c>
      <c r="D89" t="s">
        <v>176</v>
      </c>
      <c r="E89" t="s">
        <v>176</v>
      </c>
      <c r="F89" t="s">
        <v>176</v>
      </c>
      <c r="G89" t="s">
        <v>176</v>
      </c>
      <c r="H89" t="s">
        <v>176</v>
      </c>
      <c r="I89" t="s">
        <v>176</v>
      </c>
      <c r="J89" t="s">
        <v>176</v>
      </c>
      <c r="K89" t="s">
        <v>177</v>
      </c>
      <c r="L89" t="s">
        <v>177</v>
      </c>
      <c r="M89" t="s">
        <v>177</v>
      </c>
      <c r="N89" t="s">
        <v>177</v>
      </c>
      <c r="O89" t="s">
        <v>176</v>
      </c>
    </row>
    <row r="90" spans="1:15" x14ac:dyDescent="0.3">
      <c r="A90" t="s">
        <v>101</v>
      </c>
      <c r="B90" s="1" t="s">
        <v>685</v>
      </c>
      <c r="C90" t="s">
        <v>176</v>
      </c>
      <c r="D90" t="s">
        <v>176</v>
      </c>
      <c r="E90" t="s">
        <v>176</v>
      </c>
      <c r="F90" t="s">
        <v>176</v>
      </c>
      <c r="G90" t="s">
        <v>176</v>
      </c>
      <c r="H90" t="s">
        <v>176</v>
      </c>
      <c r="I90" t="s">
        <v>176</v>
      </c>
      <c r="J90" t="s">
        <v>176</v>
      </c>
      <c r="K90" t="s">
        <v>177</v>
      </c>
      <c r="L90" t="s">
        <v>177</v>
      </c>
      <c r="M90" t="s">
        <v>177</v>
      </c>
      <c r="N90" t="s">
        <v>177</v>
      </c>
      <c r="O90" t="s">
        <v>176</v>
      </c>
    </row>
    <row r="91" spans="1:15" x14ac:dyDescent="0.3">
      <c r="A91" t="s">
        <v>107</v>
      </c>
      <c r="B91" s="1" t="s">
        <v>685</v>
      </c>
      <c r="C91" t="s">
        <v>176</v>
      </c>
      <c r="D91" t="s">
        <v>176</v>
      </c>
      <c r="E91" t="s">
        <v>176</v>
      </c>
      <c r="F91" t="s">
        <v>176</v>
      </c>
      <c r="G91" t="s">
        <v>176</v>
      </c>
      <c r="H91" t="s">
        <v>176</v>
      </c>
      <c r="I91" t="s">
        <v>176</v>
      </c>
      <c r="J91" t="s">
        <v>176</v>
      </c>
      <c r="K91" t="s">
        <v>177</v>
      </c>
      <c r="L91" t="s">
        <v>177</v>
      </c>
      <c r="M91" t="s">
        <v>177</v>
      </c>
      <c r="N91" t="s">
        <v>177</v>
      </c>
      <c r="O91" t="s">
        <v>176</v>
      </c>
    </row>
    <row r="92" spans="1:15" x14ac:dyDescent="0.3">
      <c r="A92" t="s">
        <v>92</v>
      </c>
      <c r="B92" s="1" t="s">
        <v>685</v>
      </c>
      <c r="C92" t="s">
        <v>176</v>
      </c>
      <c r="D92" t="s">
        <v>176</v>
      </c>
      <c r="E92" t="s">
        <v>176</v>
      </c>
      <c r="F92" t="s">
        <v>176</v>
      </c>
      <c r="G92" t="s">
        <v>176</v>
      </c>
      <c r="H92" t="s">
        <v>176</v>
      </c>
      <c r="I92" t="s">
        <v>176</v>
      </c>
      <c r="J92" t="s">
        <v>176</v>
      </c>
      <c r="K92" t="s">
        <v>177</v>
      </c>
      <c r="L92" t="s">
        <v>177</v>
      </c>
      <c r="M92" t="s">
        <v>177</v>
      </c>
      <c r="N92" t="s">
        <v>177</v>
      </c>
      <c r="O92" t="s">
        <v>176</v>
      </c>
    </row>
    <row r="93" spans="1:15" x14ac:dyDescent="0.3">
      <c r="A93" t="s">
        <v>151</v>
      </c>
      <c r="B93" s="1" t="s">
        <v>685</v>
      </c>
      <c r="C93" t="s">
        <v>176</v>
      </c>
      <c r="D93" t="s">
        <v>176</v>
      </c>
      <c r="E93" t="s">
        <v>176</v>
      </c>
      <c r="F93" t="s">
        <v>176</v>
      </c>
      <c r="G93" t="s">
        <v>176</v>
      </c>
      <c r="H93" t="s">
        <v>176</v>
      </c>
      <c r="I93" t="s">
        <v>176</v>
      </c>
      <c r="J93" t="s">
        <v>176</v>
      </c>
      <c r="K93" t="s">
        <v>177</v>
      </c>
      <c r="L93" t="s">
        <v>177</v>
      </c>
      <c r="M93" t="s">
        <v>177</v>
      </c>
      <c r="N93" t="s">
        <v>177</v>
      </c>
      <c r="O93" t="s">
        <v>176</v>
      </c>
    </row>
    <row r="94" spans="1:15" x14ac:dyDescent="0.3">
      <c r="A94" t="s">
        <v>131</v>
      </c>
      <c r="B94" s="1" t="s">
        <v>685</v>
      </c>
      <c r="C94" t="s">
        <v>176</v>
      </c>
      <c r="D94" t="s">
        <v>176</v>
      </c>
      <c r="E94" t="s">
        <v>176</v>
      </c>
      <c r="F94" t="s">
        <v>176</v>
      </c>
      <c r="G94" t="s">
        <v>176</v>
      </c>
      <c r="H94" t="s">
        <v>176</v>
      </c>
      <c r="I94" t="s">
        <v>176</v>
      </c>
      <c r="J94" t="s">
        <v>176</v>
      </c>
      <c r="K94" t="s">
        <v>177</v>
      </c>
      <c r="L94" t="s">
        <v>177</v>
      </c>
      <c r="M94" t="s">
        <v>177</v>
      </c>
      <c r="N94" t="s">
        <v>177</v>
      </c>
      <c r="O94" t="s">
        <v>176</v>
      </c>
    </row>
    <row r="95" spans="1:15" x14ac:dyDescent="0.3">
      <c r="A95" t="s">
        <v>111</v>
      </c>
      <c r="B95" s="1" t="s">
        <v>685</v>
      </c>
      <c r="C95" t="s">
        <v>176</v>
      </c>
      <c r="D95" t="s">
        <v>176</v>
      </c>
      <c r="E95" t="s">
        <v>176</v>
      </c>
      <c r="F95" t="s">
        <v>176</v>
      </c>
      <c r="G95" t="s">
        <v>176</v>
      </c>
      <c r="H95" t="s">
        <v>176</v>
      </c>
      <c r="I95" t="s">
        <v>176</v>
      </c>
      <c r="J95" t="s">
        <v>176</v>
      </c>
      <c r="K95" t="s">
        <v>177</v>
      </c>
      <c r="L95" t="s">
        <v>177</v>
      </c>
      <c r="M95" t="s">
        <v>177</v>
      </c>
      <c r="N95" t="s">
        <v>177</v>
      </c>
      <c r="O95" t="s">
        <v>176</v>
      </c>
    </row>
    <row r="96" spans="1:15" x14ac:dyDescent="0.3">
      <c r="A96" t="s">
        <v>123</v>
      </c>
      <c r="B96" s="1" t="s">
        <v>685</v>
      </c>
      <c r="C96" t="s">
        <v>176</v>
      </c>
      <c r="D96" t="s">
        <v>176</v>
      </c>
      <c r="E96" t="s">
        <v>176</v>
      </c>
      <c r="F96" t="s">
        <v>176</v>
      </c>
      <c r="G96" t="s">
        <v>176</v>
      </c>
      <c r="H96" t="s">
        <v>176</v>
      </c>
      <c r="I96" t="s">
        <v>176</v>
      </c>
      <c r="J96" t="s">
        <v>176</v>
      </c>
      <c r="K96" t="s">
        <v>177</v>
      </c>
      <c r="L96" t="s">
        <v>177</v>
      </c>
      <c r="M96" t="s">
        <v>177</v>
      </c>
      <c r="N96" t="s">
        <v>177</v>
      </c>
      <c r="O96" t="s">
        <v>176</v>
      </c>
    </row>
    <row r="97" spans="1:15" x14ac:dyDescent="0.3">
      <c r="A97" t="s">
        <v>130</v>
      </c>
      <c r="B97" s="1" t="s">
        <v>682</v>
      </c>
      <c r="C97" t="s">
        <v>176</v>
      </c>
      <c r="D97" t="s">
        <v>176</v>
      </c>
      <c r="E97" t="s">
        <v>176</v>
      </c>
      <c r="F97" t="s">
        <v>176</v>
      </c>
      <c r="G97" t="s">
        <v>176</v>
      </c>
      <c r="H97" t="s">
        <v>176</v>
      </c>
      <c r="I97" t="s">
        <v>176</v>
      </c>
      <c r="J97" t="s">
        <v>176</v>
      </c>
      <c r="K97" t="s">
        <v>177</v>
      </c>
      <c r="L97" t="s">
        <v>177</v>
      </c>
      <c r="M97" t="s">
        <v>177</v>
      </c>
      <c r="N97" t="s">
        <v>177</v>
      </c>
      <c r="O97" t="s">
        <v>176</v>
      </c>
    </row>
    <row r="98" spans="1:15" x14ac:dyDescent="0.3">
      <c r="A98" t="s">
        <v>130</v>
      </c>
      <c r="B98" s="1" t="s">
        <v>682</v>
      </c>
      <c r="C98" t="s">
        <v>176</v>
      </c>
      <c r="D98" t="s">
        <v>176</v>
      </c>
      <c r="E98" t="s">
        <v>176</v>
      </c>
      <c r="F98" t="s">
        <v>176</v>
      </c>
      <c r="G98" t="s">
        <v>176</v>
      </c>
      <c r="H98" t="s">
        <v>176</v>
      </c>
      <c r="I98" t="s">
        <v>176</v>
      </c>
      <c r="J98" t="s">
        <v>176</v>
      </c>
      <c r="K98" t="s">
        <v>177</v>
      </c>
      <c r="L98" t="s">
        <v>177</v>
      </c>
      <c r="M98" t="s">
        <v>177</v>
      </c>
      <c r="N98" t="s">
        <v>177</v>
      </c>
      <c r="O98" t="s">
        <v>176</v>
      </c>
    </row>
    <row r="99" spans="1:15" x14ac:dyDescent="0.3">
      <c r="A99" t="s">
        <v>109</v>
      </c>
      <c r="B99" s="1" t="s">
        <v>682</v>
      </c>
      <c r="C99" t="s">
        <v>176</v>
      </c>
      <c r="D99" t="s">
        <v>176</v>
      </c>
      <c r="E99" t="s">
        <v>176</v>
      </c>
      <c r="F99" t="s">
        <v>176</v>
      </c>
      <c r="G99" t="s">
        <v>176</v>
      </c>
      <c r="H99" t="s">
        <v>176</v>
      </c>
      <c r="I99" t="s">
        <v>176</v>
      </c>
      <c r="J99" t="s">
        <v>176</v>
      </c>
      <c r="K99" t="s">
        <v>177</v>
      </c>
      <c r="L99" t="s">
        <v>177</v>
      </c>
      <c r="M99" t="s">
        <v>177</v>
      </c>
      <c r="N99" t="s">
        <v>177</v>
      </c>
      <c r="O99" t="s">
        <v>176</v>
      </c>
    </row>
    <row r="100" spans="1:15" x14ac:dyDescent="0.3">
      <c r="A100" t="s">
        <v>142</v>
      </c>
      <c r="B100" s="1" t="s">
        <v>682</v>
      </c>
      <c r="C100" t="s">
        <v>176</v>
      </c>
      <c r="D100" t="s">
        <v>176</v>
      </c>
      <c r="E100" t="s">
        <v>176</v>
      </c>
      <c r="F100" t="s">
        <v>176</v>
      </c>
      <c r="G100" t="s">
        <v>176</v>
      </c>
      <c r="H100" t="s">
        <v>176</v>
      </c>
      <c r="I100" t="s">
        <v>176</v>
      </c>
      <c r="J100" t="s">
        <v>176</v>
      </c>
      <c r="K100" t="s">
        <v>177</v>
      </c>
      <c r="L100" t="s">
        <v>177</v>
      </c>
      <c r="M100" t="s">
        <v>177</v>
      </c>
      <c r="N100" t="s">
        <v>177</v>
      </c>
      <c r="O100" t="s">
        <v>176</v>
      </c>
    </row>
    <row r="101" spans="1:15" x14ac:dyDescent="0.3">
      <c r="A101" t="s">
        <v>28</v>
      </c>
      <c r="B101" s="1" t="s">
        <v>682</v>
      </c>
      <c r="C101" t="s">
        <v>176</v>
      </c>
      <c r="D101" t="s">
        <v>176</v>
      </c>
      <c r="E101" t="s">
        <v>176</v>
      </c>
      <c r="F101" t="s">
        <v>176</v>
      </c>
      <c r="G101" t="s">
        <v>176</v>
      </c>
      <c r="H101" t="s">
        <v>176</v>
      </c>
      <c r="I101" t="s">
        <v>176</v>
      </c>
      <c r="J101" t="s">
        <v>176</v>
      </c>
      <c r="K101" t="s">
        <v>177</v>
      </c>
      <c r="L101" t="s">
        <v>177</v>
      </c>
      <c r="M101" t="s">
        <v>177</v>
      </c>
      <c r="N101" t="s">
        <v>177</v>
      </c>
      <c r="O101" t="s">
        <v>176</v>
      </c>
    </row>
    <row r="102" spans="1:15" x14ac:dyDescent="0.3">
      <c r="A102" t="s">
        <v>32</v>
      </c>
      <c r="B102" s="1" t="s">
        <v>682</v>
      </c>
      <c r="C102" t="s">
        <v>176</v>
      </c>
      <c r="D102" t="s">
        <v>176</v>
      </c>
      <c r="E102" t="s">
        <v>176</v>
      </c>
      <c r="F102" t="s">
        <v>176</v>
      </c>
      <c r="G102" t="s">
        <v>176</v>
      </c>
      <c r="H102" t="s">
        <v>176</v>
      </c>
      <c r="I102" t="s">
        <v>176</v>
      </c>
      <c r="J102" t="s">
        <v>176</v>
      </c>
      <c r="K102" t="s">
        <v>177</v>
      </c>
      <c r="L102" t="s">
        <v>177</v>
      </c>
      <c r="M102" t="s">
        <v>177</v>
      </c>
      <c r="N102" t="s">
        <v>177</v>
      </c>
      <c r="O102" t="s">
        <v>176</v>
      </c>
    </row>
    <row r="103" spans="1:15" x14ac:dyDescent="0.3">
      <c r="A103" t="s">
        <v>99</v>
      </c>
      <c r="B103" s="1" t="s">
        <v>682</v>
      </c>
      <c r="C103" t="s">
        <v>176</v>
      </c>
      <c r="D103" t="s">
        <v>176</v>
      </c>
      <c r="E103" t="s">
        <v>176</v>
      </c>
      <c r="F103" t="s">
        <v>176</v>
      </c>
      <c r="G103" t="s">
        <v>176</v>
      </c>
      <c r="H103" t="s">
        <v>176</v>
      </c>
      <c r="I103" t="s">
        <v>176</v>
      </c>
      <c r="J103" t="s">
        <v>176</v>
      </c>
      <c r="K103" t="s">
        <v>177</v>
      </c>
      <c r="L103" t="s">
        <v>177</v>
      </c>
      <c r="M103" t="s">
        <v>177</v>
      </c>
      <c r="N103" t="s">
        <v>177</v>
      </c>
      <c r="O103" t="s">
        <v>176</v>
      </c>
    </row>
    <row r="104" spans="1:15" x14ac:dyDescent="0.3">
      <c r="A104" t="s">
        <v>65</v>
      </c>
      <c r="B104" s="1" t="s">
        <v>682</v>
      </c>
      <c r="C104" t="s">
        <v>176</v>
      </c>
      <c r="D104" t="s">
        <v>176</v>
      </c>
      <c r="E104" t="s">
        <v>176</v>
      </c>
      <c r="F104" t="s">
        <v>176</v>
      </c>
      <c r="G104" t="s">
        <v>176</v>
      </c>
      <c r="H104" t="s">
        <v>176</v>
      </c>
      <c r="I104" t="s">
        <v>176</v>
      </c>
      <c r="J104" t="s">
        <v>176</v>
      </c>
      <c r="K104" t="s">
        <v>177</v>
      </c>
      <c r="L104" t="s">
        <v>177</v>
      </c>
      <c r="M104" t="s">
        <v>177</v>
      </c>
      <c r="N104" t="s">
        <v>177</v>
      </c>
      <c r="O104" t="s">
        <v>176</v>
      </c>
    </row>
    <row r="105" spans="1:15" x14ac:dyDescent="0.3">
      <c r="A105" t="s">
        <v>61</v>
      </c>
      <c r="B105" s="1" t="s">
        <v>682</v>
      </c>
      <c r="C105" t="s">
        <v>176</v>
      </c>
      <c r="D105" t="s">
        <v>176</v>
      </c>
      <c r="E105" t="s">
        <v>176</v>
      </c>
      <c r="F105" t="s">
        <v>176</v>
      </c>
      <c r="G105" t="s">
        <v>176</v>
      </c>
      <c r="H105" t="s">
        <v>176</v>
      </c>
      <c r="I105" t="s">
        <v>176</v>
      </c>
      <c r="J105" t="s">
        <v>176</v>
      </c>
      <c r="K105" t="s">
        <v>177</v>
      </c>
      <c r="L105" t="s">
        <v>177</v>
      </c>
      <c r="M105" t="s">
        <v>177</v>
      </c>
      <c r="N105" t="s">
        <v>177</v>
      </c>
      <c r="O105" t="s">
        <v>176</v>
      </c>
    </row>
    <row r="106" spans="1:15" x14ac:dyDescent="0.3">
      <c r="A106" t="s">
        <v>166</v>
      </c>
      <c r="B106" s="1" t="s">
        <v>682</v>
      </c>
      <c r="C106" t="s">
        <v>176</v>
      </c>
      <c r="D106" t="s">
        <v>176</v>
      </c>
      <c r="E106" t="s">
        <v>176</v>
      </c>
      <c r="F106" t="s">
        <v>176</v>
      </c>
      <c r="G106" t="s">
        <v>176</v>
      </c>
      <c r="H106" t="s">
        <v>176</v>
      </c>
      <c r="I106" t="s">
        <v>176</v>
      </c>
      <c r="J106" t="s">
        <v>176</v>
      </c>
      <c r="K106" t="s">
        <v>177</v>
      </c>
      <c r="L106" t="s">
        <v>177</v>
      </c>
      <c r="M106" t="s">
        <v>177</v>
      </c>
      <c r="N106" t="s">
        <v>177</v>
      </c>
      <c r="O106" t="s">
        <v>176</v>
      </c>
    </row>
    <row r="107" spans="1:15" x14ac:dyDescent="0.3">
      <c r="A107" t="s">
        <v>106</v>
      </c>
      <c r="B107" s="1" t="s">
        <v>682</v>
      </c>
      <c r="C107" t="s">
        <v>176</v>
      </c>
      <c r="D107" t="s">
        <v>176</v>
      </c>
      <c r="E107" t="s">
        <v>176</v>
      </c>
      <c r="F107" t="s">
        <v>176</v>
      </c>
      <c r="G107" t="s">
        <v>176</v>
      </c>
      <c r="H107" t="s">
        <v>176</v>
      </c>
      <c r="I107" t="s">
        <v>176</v>
      </c>
      <c r="J107" t="s">
        <v>176</v>
      </c>
      <c r="K107" t="s">
        <v>177</v>
      </c>
      <c r="L107" t="s">
        <v>177</v>
      </c>
      <c r="M107" t="s">
        <v>177</v>
      </c>
      <c r="N107" t="s">
        <v>177</v>
      </c>
      <c r="O107" t="s">
        <v>176</v>
      </c>
    </row>
    <row r="108" spans="1:15" x14ac:dyDescent="0.3">
      <c r="A108" t="s">
        <v>161</v>
      </c>
      <c r="B108" s="1" t="s">
        <v>682</v>
      </c>
      <c r="C108" t="s">
        <v>176</v>
      </c>
      <c r="D108" t="s">
        <v>176</v>
      </c>
      <c r="E108" t="s">
        <v>176</v>
      </c>
      <c r="F108" t="s">
        <v>176</v>
      </c>
      <c r="G108" t="s">
        <v>176</v>
      </c>
      <c r="H108" t="s">
        <v>176</v>
      </c>
      <c r="I108" t="s">
        <v>176</v>
      </c>
      <c r="J108" t="s">
        <v>176</v>
      </c>
      <c r="K108" t="s">
        <v>177</v>
      </c>
      <c r="L108" t="s">
        <v>177</v>
      </c>
      <c r="M108" t="s">
        <v>177</v>
      </c>
      <c r="N108" t="s">
        <v>177</v>
      </c>
      <c r="O108" t="s">
        <v>176</v>
      </c>
    </row>
    <row r="109" spans="1:15" x14ac:dyDescent="0.3">
      <c r="A109" t="s">
        <v>125</v>
      </c>
      <c r="B109" s="1" t="s">
        <v>682</v>
      </c>
      <c r="C109" t="s">
        <v>176</v>
      </c>
      <c r="D109" t="s">
        <v>176</v>
      </c>
      <c r="E109" t="s">
        <v>176</v>
      </c>
      <c r="F109" t="s">
        <v>176</v>
      </c>
      <c r="G109" t="s">
        <v>176</v>
      </c>
      <c r="H109" t="s">
        <v>176</v>
      </c>
      <c r="I109" t="s">
        <v>176</v>
      </c>
      <c r="J109" t="s">
        <v>176</v>
      </c>
      <c r="K109" t="s">
        <v>177</v>
      </c>
      <c r="L109" t="s">
        <v>177</v>
      </c>
      <c r="M109" t="s">
        <v>177</v>
      </c>
      <c r="N109" t="s">
        <v>177</v>
      </c>
      <c r="O109" t="s">
        <v>176</v>
      </c>
    </row>
    <row r="110" spans="1:15" x14ac:dyDescent="0.3">
      <c r="A110" t="s">
        <v>157</v>
      </c>
      <c r="B110" s="1" t="s">
        <v>686</v>
      </c>
      <c r="C110" t="s">
        <v>176</v>
      </c>
      <c r="D110" t="s">
        <v>176</v>
      </c>
      <c r="E110" t="s">
        <v>176</v>
      </c>
      <c r="F110" t="s">
        <v>176</v>
      </c>
      <c r="G110" t="s">
        <v>176</v>
      </c>
      <c r="H110" t="s">
        <v>176</v>
      </c>
      <c r="I110" t="s">
        <v>176</v>
      </c>
      <c r="J110" t="s">
        <v>176</v>
      </c>
      <c r="K110" t="s">
        <v>177</v>
      </c>
      <c r="L110" t="s">
        <v>177</v>
      </c>
      <c r="M110" t="s">
        <v>177</v>
      </c>
      <c r="N110" t="s">
        <v>177</v>
      </c>
      <c r="O110" t="s">
        <v>176</v>
      </c>
    </row>
    <row r="111" spans="1:15" x14ac:dyDescent="0.3">
      <c r="A111" t="s">
        <v>167</v>
      </c>
      <c r="B111" s="1" t="s">
        <v>686</v>
      </c>
      <c r="C111" t="s">
        <v>176</v>
      </c>
      <c r="D111" t="s">
        <v>176</v>
      </c>
      <c r="E111" t="s">
        <v>176</v>
      </c>
      <c r="F111" t="s">
        <v>176</v>
      </c>
      <c r="G111" t="s">
        <v>176</v>
      </c>
      <c r="H111" t="s">
        <v>176</v>
      </c>
      <c r="I111" t="s">
        <v>176</v>
      </c>
      <c r="J111" t="s">
        <v>176</v>
      </c>
      <c r="K111" t="s">
        <v>177</v>
      </c>
      <c r="L111" t="s">
        <v>177</v>
      </c>
      <c r="M111" t="s">
        <v>177</v>
      </c>
      <c r="N111" t="s">
        <v>177</v>
      </c>
      <c r="O111" t="s">
        <v>176</v>
      </c>
    </row>
    <row r="112" spans="1:15" x14ac:dyDescent="0.3">
      <c r="A112" t="s">
        <v>59</v>
      </c>
      <c r="B112" s="1" t="s">
        <v>686</v>
      </c>
      <c r="C112" t="s">
        <v>176</v>
      </c>
      <c r="D112" t="s">
        <v>176</v>
      </c>
      <c r="E112" t="s">
        <v>176</v>
      </c>
      <c r="F112" t="s">
        <v>176</v>
      </c>
      <c r="G112" t="s">
        <v>176</v>
      </c>
      <c r="H112" t="s">
        <v>176</v>
      </c>
      <c r="I112" t="s">
        <v>176</v>
      </c>
      <c r="J112" t="s">
        <v>176</v>
      </c>
      <c r="K112" t="s">
        <v>177</v>
      </c>
      <c r="L112" t="s">
        <v>177</v>
      </c>
      <c r="M112" t="s">
        <v>177</v>
      </c>
      <c r="N112" t="s">
        <v>177</v>
      </c>
      <c r="O112" t="s">
        <v>176</v>
      </c>
    </row>
    <row r="113" spans="1:15" x14ac:dyDescent="0.3">
      <c r="A113" t="s">
        <v>129</v>
      </c>
      <c r="B113" s="1" t="s">
        <v>686</v>
      </c>
      <c r="C113" t="s">
        <v>176</v>
      </c>
      <c r="D113" t="s">
        <v>176</v>
      </c>
      <c r="E113" t="s">
        <v>176</v>
      </c>
      <c r="F113" t="s">
        <v>176</v>
      </c>
      <c r="G113" t="s">
        <v>176</v>
      </c>
      <c r="H113" t="s">
        <v>176</v>
      </c>
      <c r="I113" t="s">
        <v>176</v>
      </c>
      <c r="J113" t="s">
        <v>176</v>
      </c>
      <c r="K113" t="s">
        <v>177</v>
      </c>
      <c r="L113" t="s">
        <v>177</v>
      </c>
      <c r="M113" t="s">
        <v>177</v>
      </c>
      <c r="N113" t="s">
        <v>177</v>
      </c>
      <c r="O113" t="s">
        <v>176</v>
      </c>
    </row>
  </sheetData>
  <autoFilter ref="A1:O113" xr:uid="{00000000-0001-0000-0100-000000000000}">
    <sortState xmlns:xlrd2="http://schemas.microsoft.com/office/spreadsheetml/2017/richdata2" ref="A2:O113">
      <sortCondition ref="B2:B113"/>
      <sortCondition ref="A2:A113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3"/>
  <sheetViews>
    <sheetView tabSelected="1" workbookViewId="0">
      <selection activeCell="A19" sqref="A19"/>
    </sheetView>
  </sheetViews>
  <sheetFormatPr defaultRowHeight="14.4" x14ac:dyDescent="0.3"/>
  <cols>
    <col min="1" max="1" width="32.33203125" customWidth="1"/>
    <col min="2" max="2" width="11.33203125" style="1" customWidth="1"/>
    <col min="3" max="3" width="18.44140625" bestFit="1" customWidth="1"/>
    <col min="4" max="4" width="24" bestFit="1" customWidth="1"/>
    <col min="5" max="6" width="21.77734375" bestFit="1" customWidth="1"/>
    <col min="7" max="7" width="30.77734375" bestFit="1" customWidth="1"/>
    <col min="8" max="8" width="14.6640625" bestFit="1" customWidth="1"/>
    <col min="9" max="9" width="32.109375" bestFit="1" customWidth="1"/>
    <col min="10" max="10" width="13.21875" bestFit="1" customWidth="1"/>
    <col min="11" max="11" width="32.109375" bestFit="1" customWidth="1"/>
    <col min="12" max="12" width="12.6640625" bestFit="1" customWidth="1"/>
    <col min="13" max="13" width="12" bestFit="1" customWidth="1"/>
    <col min="14" max="14" width="12.6640625" bestFit="1" customWidth="1"/>
    <col min="15" max="15" width="7.77734375" bestFit="1" customWidth="1"/>
  </cols>
  <sheetData>
    <row r="1" spans="1:15" x14ac:dyDescent="0.3">
      <c r="A1" t="s">
        <v>0</v>
      </c>
      <c r="B1" s="1" t="s">
        <v>680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86</v>
      </c>
      <c r="B2" s="1">
        <v>2013</v>
      </c>
      <c r="C2">
        <v>13</v>
      </c>
      <c r="D2" t="s">
        <v>323</v>
      </c>
      <c r="E2">
        <v>41.932500079999997</v>
      </c>
      <c r="F2">
        <v>-87.65268082</v>
      </c>
      <c r="G2">
        <v>19</v>
      </c>
      <c r="H2">
        <v>66</v>
      </c>
      <c r="I2" t="s">
        <v>324</v>
      </c>
    </row>
    <row r="3" spans="1:15" x14ac:dyDescent="0.3">
      <c r="A3" t="s">
        <v>84</v>
      </c>
      <c r="B3" s="1">
        <v>2013</v>
      </c>
      <c r="C3">
        <v>4275</v>
      </c>
      <c r="D3" t="s">
        <v>320</v>
      </c>
      <c r="E3" t="s">
        <v>321</v>
      </c>
      <c r="F3">
        <v>77</v>
      </c>
      <c r="G3">
        <v>64</v>
      </c>
      <c r="H3">
        <v>32</v>
      </c>
      <c r="I3" t="s">
        <v>322</v>
      </c>
      <c r="J3">
        <v>32</v>
      </c>
      <c r="K3" t="s">
        <v>322</v>
      </c>
      <c r="L3" t="s">
        <v>233</v>
      </c>
    </row>
    <row r="4" spans="1:15" x14ac:dyDescent="0.3">
      <c r="A4" t="s">
        <v>139</v>
      </c>
      <c r="B4" s="1">
        <v>2014</v>
      </c>
      <c r="C4">
        <v>13</v>
      </c>
      <c r="D4" t="s">
        <v>323</v>
      </c>
      <c r="E4">
        <v>41.932500079999997</v>
      </c>
      <c r="F4">
        <v>-87.65268082</v>
      </c>
      <c r="G4">
        <v>19</v>
      </c>
      <c r="H4" t="s">
        <v>538</v>
      </c>
    </row>
    <row r="5" spans="1:15" x14ac:dyDescent="0.3">
      <c r="A5" t="s">
        <v>158</v>
      </c>
      <c r="B5" s="1">
        <v>2014</v>
      </c>
      <c r="C5">
        <v>2355133</v>
      </c>
      <c r="D5" t="s">
        <v>608</v>
      </c>
      <c r="E5" t="s">
        <v>609</v>
      </c>
      <c r="F5">
        <v>2217</v>
      </c>
      <c r="G5">
        <v>263</v>
      </c>
      <c r="H5">
        <v>282</v>
      </c>
      <c r="I5" t="s">
        <v>565</v>
      </c>
      <c r="J5">
        <v>22</v>
      </c>
      <c r="K5" t="s">
        <v>564</v>
      </c>
      <c r="L5" t="s">
        <v>227</v>
      </c>
      <c r="M5" t="s">
        <v>310</v>
      </c>
      <c r="N5">
        <v>1992</v>
      </c>
    </row>
    <row r="6" spans="1:15" x14ac:dyDescent="0.3">
      <c r="A6" t="s">
        <v>138</v>
      </c>
      <c r="B6" s="1">
        <v>2014</v>
      </c>
      <c r="C6">
        <v>2886258</v>
      </c>
      <c r="D6" t="s">
        <v>534</v>
      </c>
      <c r="E6" t="s">
        <v>535</v>
      </c>
      <c r="F6">
        <v>2403</v>
      </c>
      <c r="G6">
        <v>495</v>
      </c>
      <c r="H6">
        <v>98</v>
      </c>
      <c r="I6" t="s">
        <v>536</v>
      </c>
      <c r="J6">
        <v>106</v>
      </c>
      <c r="K6" t="s">
        <v>537</v>
      </c>
      <c r="L6" t="s">
        <v>227</v>
      </c>
      <c r="M6" t="s">
        <v>310</v>
      </c>
      <c r="N6">
        <v>1974</v>
      </c>
    </row>
    <row r="7" spans="1:15" x14ac:dyDescent="0.3">
      <c r="A7" t="s">
        <v>136</v>
      </c>
      <c r="B7" s="1">
        <v>2014</v>
      </c>
      <c r="C7">
        <v>3810749</v>
      </c>
      <c r="D7" t="s">
        <v>526</v>
      </c>
      <c r="E7" t="s">
        <v>527</v>
      </c>
      <c r="F7">
        <v>989</v>
      </c>
      <c r="G7">
        <v>142</v>
      </c>
      <c r="H7">
        <v>277</v>
      </c>
      <c r="I7" t="s">
        <v>528</v>
      </c>
      <c r="J7">
        <v>285</v>
      </c>
      <c r="K7" t="s">
        <v>529</v>
      </c>
      <c r="L7" t="s">
        <v>227</v>
      </c>
      <c r="M7" t="s">
        <v>310</v>
      </c>
      <c r="N7">
        <v>1983</v>
      </c>
    </row>
    <row r="8" spans="1:15" x14ac:dyDescent="0.3">
      <c r="A8" t="s">
        <v>137</v>
      </c>
      <c r="B8" s="1">
        <v>2014</v>
      </c>
      <c r="C8">
        <v>4413166</v>
      </c>
      <c r="D8" t="s">
        <v>530</v>
      </c>
      <c r="E8" t="s">
        <v>531</v>
      </c>
      <c r="F8">
        <v>1153</v>
      </c>
      <c r="G8">
        <v>161</v>
      </c>
      <c r="H8">
        <v>264</v>
      </c>
      <c r="I8" t="s">
        <v>532</v>
      </c>
      <c r="J8">
        <v>44</v>
      </c>
      <c r="K8" t="s">
        <v>533</v>
      </c>
      <c r="L8" t="s">
        <v>227</v>
      </c>
      <c r="M8" t="s">
        <v>310</v>
      </c>
      <c r="N8">
        <v>1984</v>
      </c>
    </row>
    <row r="9" spans="1:15" x14ac:dyDescent="0.3">
      <c r="A9" t="s">
        <v>126</v>
      </c>
      <c r="B9" s="1">
        <v>2015</v>
      </c>
      <c r="C9">
        <v>3</v>
      </c>
      <c r="D9" t="s">
        <v>479</v>
      </c>
      <c r="E9">
        <v>41.867225959999999</v>
      </c>
      <c r="F9">
        <v>-87.615355390000005</v>
      </c>
      <c r="G9">
        <v>31</v>
      </c>
      <c r="H9">
        <v>544</v>
      </c>
    </row>
    <row r="10" spans="1:15" x14ac:dyDescent="0.3">
      <c r="A10" t="s">
        <v>114</v>
      </c>
      <c r="B10" s="1">
        <v>2015</v>
      </c>
      <c r="C10">
        <v>6611091</v>
      </c>
      <c r="D10" t="s">
        <v>435</v>
      </c>
      <c r="E10" t="s">
        <v>436</v>
      </c>
      <c r="F10">
        <v>3747</v>
      </c>
      <c r="G10">
        <v>1378</v>
      </c>
      <c r="H10">
        <v>177</v>
      </c>
      <c r="I10" t="s">
        <v>437</v>
      </c>
      <c r="J10">
        <v>312</v>
      </c>
      <c r="K10" t="s">
        <v>196</v>
      </c>
      <c r="L10" t="s">
        <v>227</v>
      </c>
      <c r="M10" t="s">
        <v>310</v>
      </c>
      <c r="N10">
        <v>1980</v>
      </c>
    </row>
    <row r="11" spans="1:15" x14ac:dyDescent="0.3">
      <c r="A11" t="s">
        <v>115</v>
      </c>
      <c r="B11" s="1">
        <v>2015</v>
      </c>
      <c r="C11">
        <v>7221406</v>
      </c>
      <c r="D11" t="s">
        <v>438</v>
      </c>
      <c r="E11" t="s">
        <v>439</v>
      </c>
      <c r="F11">
        <v>431</v>
      </c>
      <c r="G11">
        <v>1676</v>
      </c>
      <c r="H11">
        <v>511</v>
      </c>
      <c r="I11" t="s">
        <v>440</v>
      </c>
      <c r="J11">
        <v>58</v>
      </c>
      <c r="K11" t="s">
        <v>441</v>
      </c>
      <c r="L11" t="s">
        <v>233</v>
      </c>
    </row>
    <row r="12" spans="1:15" x14ac:dyDescent="0.3">
      <c r="A12" t="s">
        <v>113</v>
      </c>
      <c r="B12" s="1">
        <v>2015</v>
      </c>
      <c r="C12">
        <v>7745069</v>
      </c>
      <c r="D12" t="s">
        <v>431</v>
      </c>
      <c r="E12" t="s">
        <v>432</v>
      </c>
      <c r="F12">
        <v>1414</v>
      </c>
      <c r="G12">
        <v>476</v>
      </c>
      <c r="H12">
        <v>229</v>
      </c>
      <c r="I12" t="s">
        <v>433</v>
      </c>
      <c r="J12">
        <v>165</v>
      </c>
      <c r="K12" t="s">
        <v>434</v>
      </c>
      <c r="L12" t="s">
        <v>227</v>
      </c>
      <c r="M12" t="s">
        <v>228</v>
      </c>
      <c r="N12">
        <v>1983</v>
      </c>
    </row>
    <row r="13" spans="1:15" x14ac:dyDescent="0.3">
      <c r="A13" t="s">
        <v>116</v>
      </c>
      <c r="B13" s="1">
        <v>2015</v>
      </c>
      <c r="C13">
        <v>8547209</v>
      </c>
      <c r="D13" t="s">
        <v>442</v>
      </c>
      <c r="E13" t="s">
        <v>443</v>
      </c>
      <c r="F13">
        <v>3866</v>
      </c>
      <c r="G13">
        <v>334</v>
      </c>
      <c r="H13">
        <v>299</v>
      </c>
      <c r="I13" t="s">
        <v>429</v>
      </c>
      <c r="J13">
        <v>117</v>
      </c>
      <c r="K13" t="s">
        <v>444</v>
      </c>
      <c r="L13" t="s">
        <v>227</v>
      </c>
      <c r="M13" t="s">
        <v>228</v>
      </c>
      <c r="N13">
        <v>1991</v>
      </c>
    </row>
    <row r="14" spans="1:15" x14ac:dyDescent="0.3">
      <c r="A14" t="s">
        <v>128</v>
      </c>
      <c r="B14" s="1">
        <v>2015</v>
      </c>
      <c r="C14">
        <v>4738450</v>
      </c>
      <c r="D14" t="s">
        <v>484</v>
      </c>
      <c r="E14" t="s">
        <v>485</v>
      </c>
      <c r="F14">
        <v>537</v>
      </c>
      <c r="G14">
        <v>940</v>
      </c>
      <c r="H14">
        <v>43</v>
      </c>
      <c r="I14" t="s">
        <v>486</v>
      </c>
      <c r="J14">
        <v>85</v>
      </c>
      <c r="K14" t="s">
        <v>388</v>
      </c>
      <c r="L14" t="s">
        <v>233</v>
      </c>
    </row>
    <row r="15" spans="1:15" x14ac:dyDescent="0.3">
      <c r="A15" t="s">
        <v>127</v>
      </c>
      <c r="B15" s="1">
        <v>2015</v>
      </c>
      <c r="C15">
        <v>5943499</v>
      </c>
      <c r="D15" t="s">
        <v>480</v>
      </c>
      <c r="E15" t="s">
        <v>481</v>
      </c>
      <c r="F15">
        <v>4209</v>
      </c>
      <c r="G15">
        <v>1428</v>
      </c>
      <c r="H15">
        <v>490</v>
      </c>
      <c r="I15" t="s">
        <v>482</v>
      </c>
      <c r="J15">
        <v>227</v>
      </c>
      <c r="K15" t="s">
        <v>483</v>
      </c>
      <c r="L15" t="s">
        <v>233</v>
      </c>
    </row>
    <row r="16" spans="1:15" x14ac:dyDescent="0.3">
      <c r="A16" t="s">
        <v>145</v>
      </c>
      <c r="B16" s="1">
        <v>2016</v>
      </c>
      <c r="C16">
        <v>101</v>
      </c>
      <c r="D16" t="s">
        <v>221</v>
      </c>
      <c r="E16">
        <v>41.781016000000001</v>
      </c>
      <c r="F16">
        <v>-87.576120000000003</v>
      </c>
      <c r="G16">
        <v>23</v>
      </c>
      <c r="H16" t="s">
        <v>222</v>
      </c>
    </row>
    <row r="17" spans="1:14" x14ac:dyDescent="0.3">
      <c r="A17" t="s">
        <v>41</v>
      </c>
      <c r="B17" s="1">
        <v>2016</v>
      </c>
      <c r="C17">
        <v>101</v>
      </c>
      <c r="D17" t="s">
        <v>221</v>
      </c>
      <c r="E17">
        <v>41.781016370000003</v>
      </c>
      <c r="F17">
        <v>-87.576119759999997</v>
      </c>
      <c r="G17">
        <v>23</v>
      </c>
      <c r="H17" t="s">
        <v>222</v>
      </c>
    </row>
    <row r="18" spans="1:14" x14ac:dyDescent="0.3">
      <c r="A18" t="s">
        <v>34</v>
      </c>
      <c r="B18" s="1">
        <v>2016</v>
      </c>
      <c r="C18">
        <v>101</v>
      </c>
      <c r="D18" t="s">
        <v>221</v>
      </c>
      <c r="E18">
        <v>41.781016370000003</v>
      </c>
      <c r="F18">
        <v>-87.576119759999997</v>
      </c>
      <c r="G18">
        <v>23</v>
      </c>
      <c r="H18" t="s">
        <v>222</v>
      </c>
    </row>
    <row r="19" spans="1:14" x14ac:dyDescent="0.3">
      <c r="A19" t="s">
        <v>148</v>
      </c>
      <c r="B19" s="1">
        <v>2016</v>
      </c>
      <c r="C19">
        <v>9379900</v>
      </c>
      <c r="D19" t="s">
        <v>566</v>
      </c>
      <c r="E19" t="s">
        <v>567</v>
      </c>
      <c r="F19">
        <v>3583</v>
      </c>
      <c r="G19">
        <v>556</v>
      </c>
      <c r="H19">
        <v>349</v>
      </c>
      <c r="I19" t="s">
        <v>346</v>
      </c>
      <c r="J19">
        <v>165</v>
      </c>
      <c r="K19" t="s">
        <v>434</v>
      </c>
      <c r="L19" t="s">
        <v>227</v>
      </c>
      <c r="M19" t="s">
        <v>310</v>
      </c>
      <c r="N19">
        <v>1991</v>
      </c>
    </row>
    <row r="20" spans="1:14" x14ac:dyDescent="0.3">
      <c r="A20" t="s">
        <v>147</v>
      </c>
      <c r="B20" s="1">
        <v>2016</v>
      </c>
      <c r="C20">
        <v>9835708</v>
      </c>
      <c r="D20" t="s">
        <v>562</v>
      </c>
      <c r="E20" t="s">
        <v>563</v>
      </c>
      <c r="F20">
        <v>1207</v>
      </c>
      <c r="G20">
        <v>1035</v>
      </c>
      <c r="H20">
        <v>22</v>
      </c>
      <c r="I20" t="s">
        <v>564</v>
      </c>
      <c r="J20">
        <v>282</v>
      </c>
      <c r="K20" t="s">
        <v>565</v>
      </c>
      <c r="L20" t="s">
        <v>227</v>
      </c>
      <c r="M20" t="s">
        <v>310</v>
      </c>
      <c r="N20">
        <v>1993</v>
      </c>
    </row>
    <row r="21" spans="1:14" x14ac:dyDescent="0.3">
      <c r="A21" t="s">
        <v>146</v>
      </c>
      <c r="B21" s="1">
        <v>2016</v>
      </c>
      <c r="C21">
        <v>10426656</v>
      </c>
      <c r="D21" t="s">
        <v>559</v>
      </c>
      <c r="E21" t="s">
        <v>560</v>
      </c>
      <c r="F21">
        <v>1858</v>
      </c>
      <c r="G21">
        <v>967</v>
      </c>
      <c r="H21">
        <v>90</v>
      </c>
      <c r="I21" t="s">
        <v>561</v>
      </c>
      <c r="J21">
        <v>90</v>
      </c>
      <c r="K21" t="s">
        <v>561</v>
      </c>
      <c r="L21" t="s">
        <v>233</v>
      </c>
    </row>
    <row r="22" spans="1:14" x14ac:dyDescent="0.3">
      <c r="A22" t="s">
        <v>144</v>
      </c>
      <c r="B22" s="1">
        <v>2016</v>
      </c>
      <c r="C22">
        <v>9080550</v>
      </c>
      <c r="D22" t="s">
        <v>555</v>
      </c>
      <c r="E22" t="s">
        <v>556</v>
      </c>
      <c r="F22">
        <v>4831</v>
      </c>
      <c r="G22">
        <v>649</v>
      </c>
      <c r="H22">
        <v>128</v>
      </c>
      <c r="I22" t="s">
        <v>557</v>
      </c>
      <c r="J22">
        <v>213</v>
      </c>
      <c r="K22" t="s">
        <v>558</v>
      </c>
      <c r="L22" t="s">
        <v>227</v>
      </c>
      <c r="M22" t="s">
        <v>310</v>
      </c>
      <c r="N22">
        <v>1980</v>
      </c>
    </row>
    <row r="23" spans="1:14" x14ac:dyDescent="0.3">
      <c r="A23" t="s">
        <v>42</v>
      </c>
      <c r="B23" s="1">
        <v>2016</v>
      </c>
      <c r="C23">
        <v>12150159</v>
      </c>
      <c r="D23" t="s">
        <v>223</v>
      </c>
      <c r="E23" t="s">
        <v>224</v>
      </c>
      <c r="F23">
        <v>2589</v>
      </c>
      <c r="G23">
        <v>251</v>
      </c>
      <c r="H23">
        <v>383</v>
      </c>
      <c r="I23" t="s">
        <v>225</v>
      </c>
      <c r="J23">
        <v>320</v>
      </c>
      <c r="K23" t="s">
        <v>226</v>
      </c>
      <c r="L23" t="s">
        <v>227</v>
      </c>
      <c r="M23" t="s">
        <v>228</v>
      </c>
      <c r="N23">
        <v>1990</v>
      </c>
    </row>
    <row r="24" spans="1:14" x14ac:dyDescent="0.3">
      <c r="A24" t="s">
        <v>55</v>
      </c>
      <c r="B24" s="1">
        <v>2016</v>
      </c>
      <c r="C24">
        <v>12979227</v>
      </c>
      <c r="D24" t="s">
        <v>229</v>
      </c>
      <c r="E24" t="s">
        <v>230</v>
      </c>
      <c r="F24">
        <v>5114</v>
      </c>
      <c r="G24">
        <v>895</v>
      </c>
      <c r="H24">
        <v>195</v>
      </c>
      <c r="I24" t="s">
        <v>231</v>
      </c>
      <c r="J24">
        <v>25</v>
      </c>
      <c r="K24" t="s">
        <v>232</v>
      </c>
      <c r="L24" t="s">
        <v>233</v>
      </c>
    </row>
    <row r="25" spans="1:14" x14ac:dyDescent="0.3">
      <c r="A25" t="s">
        <v>120</v>
      </c>
      <c r="B25" s="1">
        <v>2017</v>
      </c>
      <c r="C25">
        <v>101</v>
      </c>
      <c r="D25" t="s">
        <v>221</v>
      </c>
      <c r="E25" t="s">
        <v>457</v>
      </c>
      <c r="F25">
        <v>41.78101637196</v>
      </c>
      <c r="G25">
        <v>-87.576119760200001</v>
      </c>
      <c r="H25">
        <v>23</v>
      </c>
      <c r="I25" t="s">
        <v>458</v>
      </c>
    </row>
    <row r="26" spans="1:14" x14ac:dyDescent="0.3">
      <c r="A26" t="s">
        <v>170</v>
      </c>
      <c r="B26" s="1">
        <v>2017</v>
      </c>
      <c r="C26">
        <v>3</v>
      </c>
      <c r="D26" t="s">
        <v>479</v>
      </c>
      <c r="E26" t="s">
        <v>457</v>
      </c>
      <c r="F26">
        <v>41.867225959999999</v>
      </c>
      <c r="G26">
        <v>-87.615355390000005</v>
      </c>
      <c r="H26">
        <v>55</v>
      </c>
      <c r="I26" t="s">
        <v>658</v>
      </c>
    </row>
    <row r="27" spans="1:14" x14ac:dyDescent="0.3">
      <c r="A27" t="s">
        <v>122</v>
      </c>
      <c r="B27" s="1">
        <v>2017</v>
      </c>
      <c r="C27">
        <v>13518904</v>
      </c>
      <c r="D27" t="s">
        <v>459</v>
      </c>
      <c r="E27" t="s">
        <v>460</v>
      </c>
      <c r="F27">
        <v>4408</v>
      </c>
      <c r="G27">
        <v>236</v>
      </c>
      <c r="H27">
        <v>199</v>
      </c>
      <c r="I27" t="s">
        <v>461</v>
      </c>
      <c r="J27">
        <v>26</v>
      </c>
      <c r="K27" t="s">
        <v>462</v>
      </c>
      <c r="L27" t="s">
        <v>227</v>
      </c>
      <c r="M27" t="s">
        <v>310</v>
      </c>
      <c r="N27">
        <v>1990</v>
      </c>
    </row>
    <row r="28" spans="1:14" x14ac:dyDescent="0.3">
      <c r="A28" t="s">
        <v>119</v>
      </c>
      <c r="B28" s="1">
        <v>2017</v>
      </c>
      <c r="C28">
        <v>14853212</v>
      </c>
      <c r="D28" t="s">
        <v>454</v>
      </c>
      <c r="E28" t="s">
        <v>455</v>
      </c>
      <c r="F28">
        <v>1909</v>
      </c>
      <c r="G28">
        <v>462</v>
      </c>
      <c r="H28">
        <v>165</v>
      </c>
      <c r="I28" t="s">
        <v>434</v>
      </c>
      <c r="J28">
        <v>234</v>
      </c>
      <c r="K28" t="s">
        <v>456</v>
      </c>
      <c r="L28" t="s">
        <v>227</v>
      </c>
      <c r="M28" t="s">
        <v>228</v>
      </c>
      <c r="N28">
        <v>1968</v>
      </c>
    </row>
    <row r="29" spans="1:14" x14ac:dyDescent="0.3">
      <c r="A29" t="s">
        <v>172</v>
      </c>
      <c r="B29" s="1">
        <v>2017</v>
      </c>
      <c r="C29">
        <v>16734064</v>
      </c>
      <c r="D29" t="s">
        <v>659</v>
      </c>
      <c r="E29" t="s">
        <v>660</v>
      </c>
      <c r="F29">
        <v>3048</v>
      </c>
      <c r="G29">
        <v>354</v>
      </c>
      <c r="H29">
        <v>216</v>
      </c>
      <c r="I29" t="s">
        <v>661</v>
      </c>
      <c r="J29">
        <v>259</v>
      </c>
      <c r="K29" t="s">
        <v>662</v>
      </c>
      <c r="L29" t="s">
        <v>227</v>
      </c>
      <c r="M29" t="s">
        <v>310</v>
      </c>
      <c r="N29">
        <v>1979</v>
      </c>
    </row>
    <row r="30" spans="1:14" x14ac:dyDescent="0.3">
      <c r="A30" t="s">
        <v>173</v>
      </c>
      <c r="B30" s="1">
        <v>2017</v>
      </c>
      <c r="C30">
        <v>17536700</v>
      </c>
      <c r="D30" t="s">
        <v>663</v>
      </c>
      <c r="E30" t="s">
        <v>664</v>
      </c>
      <c r="F30">
        <v>5975</v>
      </c>
      <c r="G30">
        <v>1402</v>
      </c>
      <c r="H30">
        <v>145</v>
      </c>
      <c r="I30" t="s">
        <v>665</v>
      </c>
      <c r="J30">
        <v>145</v>
      </c>
      <c r="K30" t="s">
        <v>665</v>
      </c>
      <c r="L30" t="s">
        <v>233</v>
      </c>
    </row>
    <row r="31" spans="1:14" x14ac:dyDescent="0.3">
      <c r="A31" t="s">
        <v>69</v>
      </c>
      <c r="B31" s="1">
        <v>2018</v>
      </c>
      <c r="C31">
        <v>17536703</v>
      </c>
      <c r="D31" t="s">
        <v>305</v>
      </c>
      <c r="E31" t="s">
        <v>306</v>
      </c>
      <c r="F31">
        <v>5367</v>
      </c>
      <c r="G31" t="s">
        <v>307</v>
      </c>
      <c r="H31">
        <v>253</v>
      </c>
      <c r="I31" t="s">
        <v>308</v>
      </c>
      <c r="J31">
        <v>325</v>
      </c>
      <c r="K31" t="s">
        <v>309</v>
      </c>
      <c r="L31" t="s">
        <v>227</v>
      </c>
      <c r="M31" t="s">
        <v>310</v>
      </c>
      <c r="N31">
        <v>1984</v>
      </c>
    </row>
    <row r="32" spans="1:14" x14ac:dyDescent="0.3">
      <c r="A32" t="s">
        <v>117</v>
      </c>
      <c r="B32" s="1">
        <v>2018</v>
      </c>
      <c r="C32">
        <v>18000528</v>
      </c>
      <c r="D32" t="s">
        <v>445</v>
      </c>
      <c r="E32" t="s">
        <v>446</v>
      </c>
      <c r="F32">
        <v>5000</v>
      </c>
      <c r="G32" t="s">
        <v>447</v>
      </c>
      <c r="H32">
        <v>157</v>
      </c>
      <c r="I32" t="s">
        <v>448</v>
      </c>
      <c r="J32">
        <v>190</v>
      </c>
      <c r="K32" t="s">
        <v>348</v>
      </c>
      <c r="L32" t="s">
        <v>227</v>
      </c>
      <c r="M32" t="s">
        <v>310</v>
      </c>
      <c r="N32">
        <v>1965</v>
      </c>
    </row>
    <row r="33" spans="1:15" x14ac:dyDescent="0.3">
      <c r="A33" t="s">
        <v>89</v>
      </c>
      <c r="B33" s="1">
        <v>2018</v>
      </c>
      <c r="C33">
        <v>19244623</v>
      </c>
      <c r="D33" t="s">
        <v>325</v>
      </c>
      <c r="E33" t="s">
        <v>326</v>
      </c>
      <c r="F33">
        <v>93</v>
      </c>
      <c r="G33" t="s">
        <v>327</v>
      </c>
      <c r="H33">
        <v>153</v>
      </c>
      <c r="I33" t="s">
        <v>328</v>
      </c>
      <c r="J33">
        <v>250</v>
      </c>
      <c r="K33" t="s">
        <v>329</v>
      </c>
      <c r="L33" t="s">
        <v>227</v>
      </c>
      <c r="M33" t="s">
        <v>310</v>
      </c>
      <c r="N33">
        <v>1986</v>
      </c>
    </row>
    <row r="34" spans="1:15" x14ac:dyDescent="0.3">
      <c r="A34" t="s">
        <v>152</v>
      </c>
      <c r="B34" s="1">
        <v>2018</v>
      </c>
      <c r="C34">
        <v>20983531</v>
      </c>
      <c r="D34" t="s">
        <v>582</v>
      </c>
      <c r="E34" t="s">
        <v>583</v>
      </c>
      <c r="F34">
        <v>847</v>
      </c>
      <c r="G34" t="s">
        <v>584</v>
      </c>
      <c r="H34">
        <v>13</v>
      </c>
      <c r="I34" t="s">
        <v>323</v>
      </c>
      <c r="J34">
        <v>144</v>
      </c>
      <c r="K34" t="s">
        <v>585</v>
      </c>
      <c r="L34" t="s">
        <v>227</v>
      </c>
      <c r="M34" t="s">
        <v>228</v>
      </c>
      <c r="N34">
        <v>1982</v>
      </c>
    </row>
    <row r="35" spans="1:15" x14ac:dyDescent="0.3">
      <c r="A35" t="s">
        <v>168</v>
      </c>
      <c r="B35" s="1">
        <v>2019</v>
      </c>
      <c r="C35">
        <v>21742444</v>
      </c>
      <c r="D35" t="s">
        <v>650</v>
      </c>
      <c r="E35" t="s">
        <v>651</v>
      </c>
      <c r="F35">
        <v>4386</v>
      </c>
      <c r="G35" t="s">
        <v>652</v>
      </c>
      <c r="H35">
        <v>44</v>
      </c>
      <c r="I35" t="s">
        <v>533</v>
      </c>
      <c r="J35">
        <v>624</v>
      </c>
      <c r="K35" t="s">
        <v>653</v>
      </c>
      <c r="L35" t="s">
        <v>227</v>
      </c>
      <c r="M35" t="s">
        <v>228</v>
      </c>
      <c r="N35">
        <v>1990</v>
      </c>
    </row>
    <row r="36" spans="1:15" x14ac:dyDescent="0.3">
      <c r="A36" t="s">
        <v>102</v>
      </c>
      <c r="B36" s="1">
        <v>2019</v>
      </c>
      <c r="C36">
        <v>22178530</v>
      </c>
      <c r="D36" t="s">
        <v>374</v>
      </c>
      <c r="E36" t="s">
        <v>375</v>
      </c>
      <c r="F36">
        <v>6226</v>
      </c>
      <c r="G36" t="s">
        <v>355</v>
      </c>
      <c r="H36">
        <v>317</v>
      </c>
      <c r="I36" t="s">
        <v>376</v>
      </c>
      <c r="J36">
        <v>59</v>
      </c>
      <c r="K36" t="s">
        <v>377</v>
      </c>
      <c r="L36" t="s">
        <v>227</v>
      </c>
      <c r="M36" t="s">
        <v>228</v>
      </c>
      <c r="N36">
        <v>1984</v>
      </c>
    </row>
    <row r="37" spans="1:15" x14ac:dyDescent="0.3">
      <c r="A37" t="s">
        <v>97</v>
      </c>
      <c r="B37" s="1">
        <v>2019</v>
      </c>
      <c r="C37">
        <v>23479389</v>
      </c>
      <c r="D37" t="s">
        <v>353</v>
      </c>
      <c r="E37" t="s">
        <v>354</v>
      </c>
      <c r="F37">
        <v>5353</v>
      </c>
      <c r="G37" t="s">
        <v>355</v>
      </c>
      <c r="H37">
        <v>381</v>
      </c>
      <c r="I37" t="s">
        <v>356</v>
      </c>
      <c r="J37">
        <v>203</v>
      </c>
      <c r="K37" t="s">
        <v>357</v>
      </c>
      <c r="L37" t="s">
        <v>233</v>
      </c>
    </row>
    <row r="38" spans="1:15" x14ac:dyDescent="0.3">
      <c r="A38" t="s">
        <v>118</v>
      </c>
      <c r="B38" s="1">
        <v>2019</v>
      </c>
      <c r="C38">
        <v>25223641</v>
      </c>
      <c r="D38" t="s">
        <v>449</v>
      </c>
      <c r="E38" t="s">
        <v>450</v>
      </c>
      <c r="F38">
        <v>6328</v>
      </c>
      <c r="G38" t="s">
        <v>451</v>
      </c>
      <c r="H38">
        <v>19</v>
      </c>
      <c r="I38" t="s">
        <v>452</v>
      </c>
      <c r="J38">
        <v>241</v>
      </c>
      <c r="K38" t="s">
        <v>453</v>
      </c>
      <c r="L38" t="s">
        <v>227</v>
      </c>
      <c r="M38" t="s">
        <v>310</v>
      </c>
      <c r="N38">
        <v>1998</v>
      </c>
    </row>
    <row r="39" spans="1:15" x14ac:dyDescent="0.3">
      <c r="A39" t="s">
        <v>56</v>
      </c>
      <c r="B39" s="1" t="s">
        <v>684</v>
      </c>
      <c r="C39" t="s">
        <v>234</v>
      </c>
      <c r="D39" t="s">
        <v>235</v>
      </c>
      <c r="E39" t="s">
        <v>236</v>
      </c>
      <c r="F39" t="s">
        <v>237</v>
      </c>
      <c r="G39" t="s">
        <v>238</v>
      </c>
      <c r="H39">
        <v>503</v>
      </c>
      <c r="I39" t="s">
        <v>239</v>
      </c>
      <c r="J39">
        <v>499</v>
      </c>
      <c r="K39">
        <v>41.924399999999999</v>
      </c>
      <c r="L39">
        <v>-87.715400000000002</v>
      </c>
      <c r="M39">
        <v>41.930599999999998</v>
      </c>
      <c r="N39">
        <v>-87.723799999999997</v>
      </c>
      <c r="O39" t="s">
        <v>185</v>
      </c>
    </row>
    <row r="40" spans="1:15" x14ac:dyDescent="0.3">
      <c r="A40" t="s">
        <v>153</v>
      </c>
      <c r="B40" s="1" t="s">
        <v>684</v>
      </c>
      <c r="C40" t="s">
        <v>586</v>
      </c>
      <c r="D40" t="s">
        <v>235</v>
      </c>
      <c r="E40" t="s">
        <v>587</v>
      </c>
      <c r="F40" t="s">
        <v>588</v>
      </c>
      <c r="G40" t="s">
        <v>589</v>
      </c>
      <c r="H40">
        <v>340</v>
      </c>
      <c r="I40" t="s">
        <v>590</v>
      </c>
      <c r="J40">
        <v>326</v>
      </c>
      <c r="K40">
        <v>41.929499999999997</v>
      </c>
      <c r="L40">
        <v>-87.643100000000004</v>
      </c>
      <c r="M40">
        <v>41.967100000000002</v>
      </c>
      <c r="N40">
        <v>-87.667400000000001</v>
      </c>
      <c r="O40" t="s">
        <v>200</v>
      </c>
    </row>
    <row r="41" spans="1:15" x14ac:dyDescent="0.3">
      <c r="A41" t="s">
        <v>66</v>
      </c>
      <c r="B41" s="1" t="s">
        <v>684</v>
      </c>
      <c r="C41" t="s">
        <v>286</v>
      </c>
      <c r="D41" t="s">
        <v>235</v>
      </c>
      <c r="E41" t="s">
        <v>287</v>
      </c>
      <c r="F41" t="s">
        <v>288</v>
      </c>
      <c r="G41" t="s">
        <v>289</v>
      </c>
      <c r="H41">
        <v>41</v>
      </c>
      <c r="I41" t="s">
        <v>290</v>
      </c>
      <c r="J41">
        <v>81</v>
      </c>
      <c r="K41">
        <v>41.872076999999997</v>
      </c>
      <c r="L41">
        <v>-87.629542999999998</v>
      </c>
      <c r="M41">
        <v>41.884241000000003</v>
      </c>
      <c r="N41">
        <v>-87.629633999999996</v>
      </c>
      <c r="O41" t="s">
        <v>185</v>
      </c>
    </row>
    <row r="42" spans="1:15" x14ac:dyDescent="0.3">
      <c r="A42" t="s">
        <v>112</v>
      </c>
      <c r="B42" s="1" t="s">
        <v>684</v>
      </c>
      <c r="C42" t="s">
        <v>426</v>
      </c>
      <c r="D42" t="s">
        <v>235</v>
      </c>
      <c r="E42" t="s">
        <v>427</v>
      </c>
      <c r="F42" t="s">
        <v>428</v>
      </c>
      <c r="G42" t="s">
        <v>429</v>
      </c>
      <c r="H42">
        <v>299</v>
      </c>
      <c r="I42" t="s">
        <v>430</v>
      </c>
      <c r="J42">
        <v>461</v>
      </c>
      <c r="K42">
        <v>41.943669999999997</v>
      </c>
      <c r="L42">
        <v>-87.648949999999999</v>
      </c>
      <c r="M42">
        <v>41.984044610700003</v>
      </c>
      <c r="N42">
        <v>-87.660273829499999</v>
      </c>
      <c r="O42" t="s">
        <v>185</v>
      </c>
    </row>
    <row r="43" spans="1:15" x14ac:dyDescent="0.3">
      <c r="A43" t="s">
        <v>98</v>
      </c>
      <c r="B43" s="1" t="s">
        <v>684</v>
      </c>
      <c r="C43" t="s">
        <v>358</v>
      </c>
      <c r="D43" t="s">
        <v>180</v>
      </c>
      <c r="E43" t="s">
        <v>359</v>
      </c>
      <c r="F43" t="s">
        <v>360</v>
      </c>
      <c r="G43" t="s">
        <v>361</v>
      </c>
      <c r="H43">
        <v>168</v>
      </c>
      <c r="I43" t="s">
        <v>361</v>
      </c>
      <c r="J43">
        <v>168</v>
      </c>
      <c r="K43">
        <v>41.864379166666673</v>
      </c>
      <c r="L43">
        <v>-87.623681166666671</v>
      </c>
      <c r="M43">
        <v>41.864221499999999</v>
      </c>
      <c r="N43">
        <v>-87.623438833333338</v>
      </c>
      <c r="O43" t="s">
        <v>200</v>
      </c>
    </row>
    <row r="44" spans="1:15" x14ac:dyDescent="0.3">
      <c r="A44" t="s">
        <v>82</v>
      </c>
      <c r="B44" s="1" t="s">
        <v>684</v>
      </c>
      <c r="C44" t="s">
        <v>311</v>
      </c>
      <c r="D44" t="s">
        <v>180</v>
      </c>
      <c r="E44" t="s">
        <v>312</v>
      </c>
      <c r="F44" t="s">
        <v>313</v>
      </c>
      <c r="G44" t="s">
        <v>314</v>
      </c>
      <c r="I44" t="s">
        <v>314</v>
      </c>
      <c r="K44">
        <v>41.94</v>
      </c>
      <c r="L44">
        <v>-87.64</v>
      </c>
      <c r="M44">
        <v>41.94</v>
      </c>
      <c r="N44">
        <v>-87.64</v>
      </c>
      <c r="O44" t="s">
        <v>200</v>
      </c>
    </row>
    <row r="45" spans="1:15" x14ac:dyDescent="0.3">
      <c r="A45" t="s">
        <v>155</v>
      </c>
      <c r="B45" s="1" t="s">
        <v>684</v>
      </c>
      <c r="C45" t="s">
        <v>594</v>
      </c>
      <c r="D45" t="s">
        <v>180</v>
      </c>
      <c r="E45" t="s">
        <v>595</v>
      </c>
      <c r="F45" t="s">
        <v>596</v>
      </c>
      <c r="G45" t="s">
        <v>483</v>
      </c>
      <c r="H45">
        <v>227</v>
      </c>
      <c r="I45" t="s">
        <v>597</v>
      </c>
      <c r="J45">
        <v>260</v>
      </c>
      <c r="K45">
        <v>41.948172333333332</v>
      </c>
      <c r="L45">
        <v>-87.663910999999999</v>
      </c>
      <c r="M45">
        <v>41.929527666666672</v>
      </c>
      <c r="N45">
        <v>-87.707817833333337</v>
      </c>
      <c r="O45" t="s">
        <v>200</v>
      </c>
    </row>
    <row r="46" spans="1:15" x14ac:dyDescent="0.3">
      <c r="A46" t="s">
        <v>83</v>
      </c>
      <c r="B46" s="1" t="s">
        <v>684</v>
      </c>
      <c r="C46" t="s">
        <v>315</v>
      </c>
      <c r="D46" t="s">
        <v>180</v>
      </c>
      <c r="E46" t="s">
        <v>316</v>
      </c>
      <c r="F46" t="s">
        <v>317</v>
      </c>
      <c r="G46" t="s">
        <v>318</v>
      </c>
      <c r="H46">
        <v>672</v>
      </c>
      <c r="I46" t="s">
        <v>319</v>
      </c>
      <c r="J46">
        <v>29</v>
      </c>
      <c r="K46">
        <v>41.89095866666667</v>
      </c>
      <c r="L46">
        <v>-87.63534283333334</v>
      </c>
      <c r="M46">
        <v>41.900675</v>
      </c>
      <c r="N46">
        <v>-87.662480333333335</v>
      </c>
      <c r="O46" t="s">
        <v>200</v>
      </c>
    </row>
    <row r="47" spans="1:15" x14ac:dyDescent="0.3">
      <c r="A47" t="s">
        <v>31</v>
      </c>
      <c r="B47" s="1" t="s">
        <v>684</v>
      </c>
      <c r="C47" t="s">
        <v>206</v>
      </c>
      <c r="D47" t="s">
        <v>180</v>
      </c>
      <c r="E47" t="s">
        <v>207</v>
      </c>
      <c r="F47" t="s">
        <v>208</v>
      </c>
      <c r="K47">
        <v>41.93</v>
      </c>
      <c r="L47">
        <v>-87.7</v>
      </c>
      <c r="M47">
        <v>41.91</v>
      </c>
      <c r="N47">
        <v>-87.7</v>
      </c>
      <c r="O47" t="s">
        <v>185</v>
      </c>
    </row>
    <row r="48" spans="1:15" x14ac:dyDescent="0.3">
      <c r="A48" t="s">
        <v>150</v>
      </c>
      <c r="B48" s="1">
        <v>2020</v>
      </c>
      <c r="C48" t="s">
        <v>575</v>
      </c>
      <c r="D48" t="s">
        <v>235</v>
      </c>
      <c r="E48" t="s">
        <v>576</v>
      </c>
      <c r="F48" t="s">
        <v>577</v>
      </c>
      <c r="G48" t="s">
        <v>456</v>
      </c>
      <c r="H48">
        <v>234</v>
      </c>
      <c r="I48" t="s">
        <v>578</v>
      </c>
      <c r="J48">
        <v>318</v>
      </c>
      <c r="K48">
        <v>41.961599999999997</v>
      </c>
      <c r="L48">
        <v>-87.665999999999997</v>
      </c>
      <c r="M48">
        <v>41.9542</v>
      </c>
      <c r="N48">
        <v>-87.664400000000001</v>
      </c>
      <c r="O48" t="s">
        <v>185</v>
      </c>
    </row>
    <row r="49" spans="1:15" x14ac:dyDescent="0.3">
      <c r="A49" t="s">
        <v>14</v>
      </c>
      <c r="B49" s="1" t="s">
        <v>681</v>
      </c>
      <c r="C49" t="s">
        <v>179</v>
      </c>
      <c r="D49" t="s">
        <v>180</v>
      </c>
      <c r="E49" t="s">
        <v>181</v>
      </c>
      <c r="F49" t="s">
        <v>182</v>
      </c>
      <c r="G49" t="s">
        <v>183</v>
      </c>
      <c r="H49" t="s">
        <v>184</v>
      </c>
      <c r="K49">
        <v>41.90033283333333</v>
      </c>
      <c r="L49">
        <v>-87.696707000000004</v>
      </c>
      <c r="M49">
        <v>41.9</v>
      </c>
      <c r="N49">
        <v>-87.69</v>
      </c>
      <c r="O49" t="s">
        <v>185</v>
      </c>
    </row>
    <row r="50" spans="1:15" x14ac:dyDescent="0.3">
      <c r="A50" t="s">
        <v>141</v>
      </c>
      <c r="B50" s="1" t="s">
        <v>681</v>
      </c>
      <c r="C50" t="s">
        <v>539</v>
      </c>
      <c r="D50" t="s">
        <v>244</v>
      </c>
      <c r="E50" t="s">
        <v>540</v>
      </c>
      <c r="F50" t="s">
        <v>541</v>
      </c>
      <c r="G50" t="s">
        <v>381</v>
      </c>
      <c r="H50" t="s">
        <v>382</v>
      </c>
      <c r="I50" t="s">
        <v>542</v>
      </c>
      <c r="J50" t="s">
        <v>543</v>
      </c>
      <c r="K50">
        <v>42.012701</v>
      </c>
      <c r="L50">
        <v>-87.666058000000007</v>
      </c>
      <c r="M50">
        <v>42.019537</v>
      </c>
      <c r="N50">
        <v>-87.669562999999997</v>
      </c>
      <c r="O50" t="s">
        <v>200</v>
      </c>
    </row>
    <row r="51" spans="1:15" x14ac:dyDescent="0.3">
      <c r="A51" t="s">
        <v>143</v>
      </c>
      <c r="B51" s="1" t="s">
        <v>681</v>
      </c>
      <c r="C51" t="s">
        <v>548</v>
      </c>
      <c r="D51" t="s">
        <v>244</v>
      </c>
      <c r="E51" t="s">
        <v>549</v>
      </c>
      <c r="F51" t="s">
        <v>550</v>
      </c>
      <c r="G51" t="s">
        <v>551</v>
      </c>
      <c r="H51" t="s">
        <v>552</v>
      </c>
      <c r="I51" t="s">
        <v>553</v>
      </c>
      <c r="J51" t="s">
        <v>554</v>
      </c>
      <c r="K51">
        <v>41.917513393989999</v>
      </c>
      <c r="L51">
        <v>-87.701808955499999</v>
      </c>
      <c r="M51">
        <v>41.914166000000002</v>
      </c>
      <c r="N51">
        <v>-87.716755000000006</v>
      </c>
      <c r="O51" t="s">
        <v>200</v>
      </c>
    </row>
    <row r="52" spans="1:15" x14ac:dyDescent="0.3">
      <c r="A52" t="s">
        <v>60</v>
      </c>
      <c r="B52" s="1" t="s">
        <v>681</v>
      </c>
      <c r="C52" t="s">
        <v>254</v>
      </c>
      <c r="D52" t="s">
        <v>235</v>
      </c>
      <c r="E52" t="s">
        <v>255</v>
      </c>
      <c r="F52" t="s">
        <v>256</v>
      </c>
      <c r="G52" t="s">
        <v>257</v>
      </c>
      <c r="H52" t="s">
        <v>258</v>
      </c>
      <c r="I52" t="s">
        <v>257</v>
      </c>
      <c r="J52" t="s">
        <v>258</v>
      </c>
      <c r="K52">
        <v>41.805771999999997</v>
      </c>
      <c r="L52">
        <v>-87.592464000000007</v>
      </c>
      <c r="M52">
        <v>41.805771999999997</v>
      </c>
      <c r="N52">
        <v>-87.592464000000007</v>
      </c>
      <c r="O52" t="s">
        <v>200</v>
      </c>
    </row>
    <row r="53" spans="1:15" x14ac:dyDescent="0.3">
      <c r="A53" t="s">
        <v>100</v>
      </c>
      <c r="B53" s="1" t="s">
        <v>681</v>
      </c>
      <c r="C53" t="s">
        <v>368</v>
      </c>
      <c r="D53" t="s">
        <v>180</v>
      </c>
      <c r="E53" t="s">
        <v>369</v>
      </c>
      <c r="F53" t="s">
        <v>370</v>
      </c>
      <c r="K53">
        <v>41.88</v>
      </c>
      <c r="L53">
        <v>-87.62</v>
      </c>
      <c r="M53">
        <v>41.79</v>
      </c>
      <c r="N53">
        <v>-87.58</v>
      </c>
      <c r="O53" t="s">
        <v>200</v>
      </c>
    </row>
    <row r="54" spans="1:15" x14ac:dyDescent="0.3">
      <c r="A54" t="s">
        <v>96</v>
      </c>
      <c r="B54" s="1" t="s">
        <v>681</v>
      </c>
      <c r="C54" t="s">
        <v>350</v>
      </c>
      <c r="D54" t="s">
        <v>180</v>
      </c>
      <c r="E54" t="s">
        <v>351</v>
      </c>
      <c r="F54" t="s">
        <v>352</v>
      </c>
      <c r="K54">
        <v>41.79</v>
      </c>
      <c r="L54">
        <v>-87.59</v>
      </c>
      <c r="M54">
        <v>41.8</v>
      </c>
      <c r="N54">
        <v>-87.6</v>
      </c>
      <c r="O54" t="s">
        <v>185</v>
      </c>
    </row>
    <row r="55" spans="1:15" x14ac:dyDescent="0.3">
      <c r="A55" t="s">
        <v>108</v>
      </c>
      <c r="B55" s="1" t="s">
        <v>681</v>
      </c>
      <c r="C55" t="s">
        <v>404</v>
      </c>
      <c r="D55" t="s">
        <v>244</v>
      </c>
      <c r="E55" t="s">
        <v>405</v>
      </c>
      <c r="F55" t="s">
        <v>406</v>
      </c>
      <c r="G55" t="s">
        <v>183</v>
      </c>
      <c r="H55" t="s">
        <v>184</v>
      </c>
      <c r="I55" t="s">
        <v>407</v>
      </c>
      <c r="J55" t="s">
        <v>408</v>
      </c>
      <c r="K55">
        <v>41.900362999999999</v>
      </c>
      <c r="L55">
        <v>-87.696703999999997</v>
      </c>
      <c r="M55">
        <v>41.889899</v>
      </c>
      <c r="N55">
        <v>-87.671473000000006</v>
      </c>
      <c r="O55" t="s">
        <v>200</v>
      </c>
    </row>
    <row r="56" spans="1:15" x14ac:dyDescent="0.3">
      <c r="A56" t="s">
        <v>160</v>
      </c>
      <c r="B56" s="1" t="s">
        <v>681</v>
      </c>
      <c r="C56" t="s">
        <v>615</v>
      </c>
      <c r="D56" t="s">
        <v>180</v>
      </c>
      <c r="E56" t="s">
        <v>616</v>
      </c>
      <c r="F56" t="s">
        <v>617</v>
      </c>
      <c r="K56">
        <v>41.77</v>
      </c>
      <c r="L56">
        <v>-87.68</v>
      </c>
      <c r="M56">
        <v>41.77</v>
      </c>
      <c r="N56">
        <v>-87.63</v>
      </c>
      <c r="O56" t="s">
        <v>185</v>
      </c>
    </row>
    <row r="57" spans="1:15" x14ac:dyDescent="0.3">
      <c r="A57" t="s">
        <v>165</v>
      </c>
      <c r="B57" s="1" t="s">
        <v>681</v>
      </c>
      <c r="C57" t="s">
        <v>639</v>
      </c>
      <c r="D57" t="s">
        <v>180</v>
      </c>
      <c r="E57" t="s">
        <v>640</v>
      </c>
      <c r="F57" t="s">
        <v>641</v>
      </c>
      <c r="K57">
        <v>41.94</v>
      </c>
      <c r="L57">
        <v>-87.64</v>
      </c>
      <c r="M57">
        <v>41.98</v>
      </c>
      <c r="N57">
        <v>-87.67</v>
      </c>
      <c r="O57" t="s">
        <v>200</v>
      </c>
    </row>
    <row r="58" spans="1:15" x14ac:dyDescent="0.3">
      <c r="A58" t="s">
        <v>162</v>
      </c>
      <c r="B58" s="1" t="s">
        <v>681</v>
      </c>
      <c r="C58" t="s">
        <v>626</v>
      </c>
      <c r="D58" t="s">
        <v>180</v>
      </c>
      <c r="E58" t="s">
        <v>627</v>
      </c>
      <c r="F58" t="s">
        <v>628</v>
      </c>
      <c r="K58">
        <v>41.93</v>
      </c>
      <c r="L58">
        <v>-87.7</v>
      </c>
      <c r="M58">
        <v>41.93</v>
      </c>
      <c r="N58">
        <v>-87.71</v>
      </c>
      <c r="O58" t="s">
        <v>185</v>
      </c>
    </row>
    <row r="59" spans="1:15" x14ac:dyDescent="0.3">
      <c r="A59" t="s">
        <v>124</v>
      </c>
      <c r="B59" s="1" t="s">
        <v>681</v>
      </c>
      <c r="C59" t="s">
        <v>469</v>
      </c>
      <c r="D59" t="s">
        <v>180</v>
      </c>
      <c r="E59" t="s">
        <v>470</v>
      </c>
      <c r="F59" t="s">
        <v>471</v>
      </c>
      <c r="K59">
        <v>41.96</v>
      </c>
      <c r="L59">
        <v>-87.7</v>
      </c>
      <c r="M59">
        <v>41.92</v>
      </c>
      <c r="N59">
        <v>-87.7</v>
      </c>
      <c r="O59" t="s">
        <v>200</v>
      </c>
    </row>
    <row r="60" spans="1:15" x14ac:dyDescent="0.3">
      <c r="A60" t="s">
        <v>174</v>
      </c>
      <c r="B60" s="1" t="s">
        <v>681</v>
      </c>
      <c r="C60" t="s">
        <v>666</v>
      </c>
      <c r="D60" t="s">
        <v>180</v>
      </c>
      <c r="E60" t="s">
        <v>667</v>
      </c>
      <c r="F60" t="s">
        <v>668</v>
      </c>
      <c r="G60" t="s">
        <v>669</v>
      </c>
      <c r="H60" t="s">
        <v>670</v>
      </c>
      <c r="I60" t="s">
        <v>671</v>
      </c>
      <c r="J60" t="s">
        <v>672</v>
      </c>
      <c r="K60">
        <v>41.894405166666672</v>
      </c>
      <c r="L60">
        <v>-87.632330999999994</v>
      </c>
      <c r="M60">
        <v>41.967967999999999</v>
      </c>
      <c r="N60">
        <v>-87.650001000000003</v>
      </c>
      <c r="O60" t="s">
        <v>200</v>
      </c>
    </row>
    <row r="61" spans="1:15" x14ac:dyDescent="0.3">
      <c r="A61" t="s">
        <v>103</v>
      </c>
      <c r="B61" s="1" t="s">
        <v>687</v>
      </c>
      <c r="C61" t="s">
        <v>378</v>
      </c>
      <c r="D61" t="s">
        <v>180</v>
      </c>
      <c r="E61" t="s">
        <v>379</v>
      </c>
      <c r="F61" t="s">
        <v>380</v>
      </c>
      <c r="G61" t="s">
        <v>381</v>
      </c>
      <c r="H61" t="s">
        <v>382</v>
      </c>
      <c r="I61" t="s">
        <v>383</v>
      </c>
      <c r="J61" t="s">
        <v>384</v>
      </c>
      <c r="K61">
        <v>42.012763</v>
      </c>
      <c r="L61">
        <v>-87.665967499999994</v>
      </c>
      <c r="M61">
        <v>42.012560115409997</v>
      </c>
      <c r="N61">
        <v>-87.674367115199999</v>
      </c>
      <c r="O61" t="s">
        <v>200</v>
      </c>
    </row>
    <row r="62" spans="1:15" x14ac:dyDescent="0.3">
      <c r="A62" t="s">
        <v>95</v>
      </c>
      <c r="B62" s="1" t="s">
        <v>687</v>
      </c>
      <c r="C62" t="s">
        <v>343</v>
      </c>
      <c r="D62" t="s">
        <v>244</v>
      </c>
      <c r="E62" t="s">
        <v>344</v>
      </c>
      <c r="F62" t="s">
        <v>345</v>
      </c>
      <c r="G62" t="s">
        <v>346</v>
      </c>
      <c r="H62" t="s">
        <v>347</v>
      </c>
      <c r="I62" t="s">
        <v>348</v>
      </c>
      <c r="J62" t="s">
        <v>349</v>
      </c>
      <c r="K62">
        <v>41.929143000000003</v>
      </c>
      <c r="L62">
        <v>-87.649077000000005</v>
      </c>
      <c r="M62">
        <v>41.928773</v>
      </c>
      <c r="N62">
        <v>-87.663912999999994</v>
      </c>
      <c r="O62" t="s">
        <v>185</v>
      </c>
    </row>
    <row r="63" spans="1:15" x14ac:dyDescent="0.3">
      <c r="A63" t="s">
        <v>104</v>
      </c>
      <c r="B63" s="1" t="s">
        <v>687</v>
      </c>
      <c r="C63" t="s">
        <v>385</v>
      </c>
      <c r="D63" t="s">
        <v>180</v>
      </c>
      <c r="E63" t="s">
        <v>386</v>
      </c>
      <c r="F63" t="s">
        <v>387</v>
      </c>
      <c r="G63" t="s">
        <v>388</v>
      </c>
      <c r="H63" t="s">
        <v>389</v>
      </c>
      <c r="I63" t="s">
        <v>390</v>
      </c>
      <c r="J63" t="s">
        <v>391</v>
      </c>
      <c r="K63">
        <v>41.900997666666669</v>
      </c>
      <c r="L63">
        <v>-87.623751666666664</v>
      </c>
      <c r="M63">
        <v>41.898203000000002</v>
      </c>
      <c r="N63">
        <v>-87.637535999999997</v>
      </c>
      <c r="O63" t="s">
        <v>185</v>
      </c>
    </row>
    <row r="64" spans="1:15" x14ac:dyDescent="0.3">
      <c r="A64" t="s">
        <v>62</v>
      </c>
      <c r="B64" s="1" t="s">
        <v>687</v>
      </c>
      <c r="C64" t="s">
        <v>262</v>
      </c>
      <c r="D64" t="s">
        <v>244</v>
      </c>
      <c r="E64" t="s">
        <v>263</v>
      </c>
      <c r="F64" t="s">
        <v>264</v>
      </c>
      <c r="G64" t="s">
        <v>265</v>
      </c>
      <c r="H64" t="s">
        <v>266</v>
      </c>
      <c r="I64" t="s">
        <v>191</v>
      </c>
      <c r="J64" t="s">
        <v>192</v>
      </c>
      <c r="K64">
        <v>41.853084557412792</v>
      </c>
      <c r="L64">
        <v>-87.631931304931641</v>
      </c>
      <c r="M64">
        <v>41.881892000000001</v>
      </c>
      <c r="N64">
        <v>-87.648788999999994</v>
      </c>
      <c r="O64" t="s">
        <v>185</v>
      </c>
    </row>
    <row r="65" spans="1:15" x14ac:dyDescent="0.3">
      <c r="A65" t="s">
        <v>134</v>
      </c>
      <c r="B65" s="1" t="s">
        <v>687</v>
      </c>
      <c r="C65" t="s">
        <v>514</v>
      </c>
      <c r="D65" t="s">
        <v>244</v>
      </c>
      <c r="E65" t="s">
        <v>515</v>
      </c>
      <c r="F65" t="s">
        <v>516</v>
      </c>
      <c r="G65" t="s">
        <v>517</v>
      </c>
      <c r="H65" t="s">
        <v>518</v>
      </c>
      <c r="I65" t="s">
        <v>519</v>
      </c>
      <c r="J65" t="s">
        <v>520</v>
      </c>
      <c r="K65">
        <v>41.880958</v>
      </c>
      <c r="L65">
        <v>-87.616743</v>
      </c>
      <c r="M65">
        <v>41.886349062690002</v>
      </c>
      <c r="N65">
        <v>-87.617516547099996</v>
      </c>
      <c r="O65" t="s">
        <v>185</v>
      </c>
    </row>
    <row r="66" spans="1:15" x14ac:dyDescent="0.3">
      <c r="A66" t="s">
        <v>105</v>
      </c>
      <c r="B66" s="1" t="s">
        <v>687</v>
      </c>
      <c r="C66" t="s">
        <v>392</v>
      </c>
      <c r="D66" t="s">
        <v>180</v>
      </c>
      <c r="E66" t="s">
        <v>393</v>
      </c>
      <c r="F66" t="s">
        <v>394</v>
      </c>
      <c r="K66">
        <v>41.91</v>
      </c>
      <c r="L66">
        <v>-87.62</v>
      </c>
      <c r="M66">
        <v>41.93</v>
      </c>
      <c r="N66">
        <v>-87.63</v>
      </c>
      <c r="O66" t="s">
        <v>200</v>
      </c>
    </row>
    <row r="67" spans="1:15" x14ac:dyDescent="0.3">
      <c r="A67" t="s">
        <v>175</v>
      </c>
      <c r="B67" s="1" t="s">
        <v>687</v>
      </c>
      <c r="C67" t="s">
        <v>673</v>
      </c>
      <c r="D67" t="s">
        <v>244</v>
      </c>
      <c r="E67" t="s">
        <v>674</v>
      </c>
      <c r="F67" t="s">
        <v>675</v>
      </c>
      <c r="G67" t="s">
        <v>676</v>
      </c>
      <c r="H67" t="s">
        <v>677</v>
      </c>
      <c r="I67" t="s">
        <v>678</v>
      </c>
      <c r="J67" t="s">
        <v>679</v>
      </c>
      <c r="K67">
        <v>41.869620747481228</v>
      </c>
      <c r="L67">
        <v>-87.623981237411499</v>
      </c>
      <c r="M67">
        <v>41.872773000000002</v>
      </c>
      <c r="N67">
        <v>-87.623981000000001</v>
      </c>
      <c r="O67" t="s">
        <v>200</v>
      </c>
    </row>
    <row r="68" spans="1:15" x14ac:dyDescent="0.3">
      <c r="A68" t="s">
        <v>94</v>
      </c>
      <c r="B68" s="1" t="s">
        <v>687</v>
      </c>
      <c r="C68" t="s">
        <v>340</v>
      </c>
      <c r="D68" t="s">
        <v>180</v>
      </c>
      <c r="E68" t="s">
        <v>341</v>
      </c>
      <c r="F68" t="s">
        <v>342</v>
      </c>
      <c r="K68">
        <v>41.89</v>
      </c>
      <c r="L68">
        <v>-87.64</v>
      </c>
      <c r="M68">
        <v>41.92</v>
      </c>
      <c r="N68">
        <v>-87.64</v>
      </c>
      <c r="O68" t="s">
        <v>200</v>
      </c>
    </row>
    <row r="69" spans="1:15" x14ac:dyDescent="0.3">
      <c r="A69" t="s">
        <v>110</v>
      </c>
      <c r="B69" s="1" t="s">
        <v>687</v>
      </c>
      <c r="C69" t="s">
        <v>416</v>
      </c>
      <c r="D69" t="s">
        <v>180</v>
      </c>
      <c r="E69" t="s">
        <v>417</v>
      </c>
      <c r="F69" t="s">
        <v>418</v>
      </c>
      <c r="K69">
        <v>41.87</v>
      </c>
      <c r="L69">
        <v>-87.62</v>
      </c>
      <c r="M69">
        <v>41.87</v>
      </c>
      <c r="N69">
        <v>-87.62</v>
      </c>
      <c r="O69" t="s">
        <v>200</v>
      </c>
    </row>
    <row r="70" spans="1:15" x14ac:dyDescent="0.3">
      <c r="A70" t="s">
        <v>164</v>
      </c>
      <c r="B70" s="1" t="s">
        <v>687</v>
      </c>
      <c r="C70" t="s">
        <v>632</v>
      </c>
      <c r="D70" t="s">
        <v>180</v>
      </c>
      <c r="E70" t="s">
        <v>633</v>
      </c>
      <c r="F70" t="s">
        <v>634</v>
      </c>
      <c r="G70" t="s">
        <v>635</v>
      </c>
      <c r="H70" t="s">
        <v>636</v>
      </c>
      <c r="I70" t="s">
        <v>637</v>
      </c>
      <c r="J70" t="s">
        <v>638</v>
      </c>
      <c r="K70">
        <v>41.920037000000001</v>
      </c>
      <c r="L70">
        <v>-87.677936833333334</v>
      </c>
      <c r="M70">
        <v>41.854966518753933</v>
      </c>
      <c r="N70">
        <v>-87.675699591636644</v>
      </c>
      <c r="O70" t="s">
        <v>200</v>
      </c>
    </row>
    <row r="71" spans="1:15" x14ac:dyDescent="0.3">
      <c r="A71" t="s">
        <v>133</v>
      </c>
      <c r="B71" s="1" t="s">
        <v>687</v>
      </c>
      <c r="C71" t="s">
        <v>507</v>
      </c>
      <c r="D71" t="s">
        <v>244</v>
      </c>
      <c r="E71" t="s">
        <v>508</v>
      </c>
      <c r="F71" t="s">
        <v>509</v>
      </c>
      <c r="G71" t="s">
        <v>510</v>
      </c>
      <c r="H71" t="s">
        <v>511</v>
      </c>
      <c r="I71" t="s">
        <v>512</v>
      </c>
      <c r="J71" t="s">
        <v>513</v>
      </c>
      <c r="K71">
        <v>41.879255000000001</v>
      </c>
      <c r="L71">
        <v>-87.639904000000001</v>
      </c>
      <c r="M71">
        <v>41.89434513742426</v>
      </c>
      <c r="N71">
        <v>-87.622798383235931</v>
      </c>
      <c r="O71" t="s">
        <v>185</v>
      </c>
    </row>
    <row r="72" spans="1:15" x14ac:dyDescent="0.3">
      <c r="A72" t="s">
        <v>156</v>
      </c>
      <c r="B72" s="1" t="s">
        <v>687</v>
      </c>
      <c r="C72" t="s">
        <v>598</v>
      </c>
      <c r="D72" t="s">
        <v>244</v>
      </c>
      <c r="E72" t="s">
        <v>599</v>
      </c>
      <c r="F72" t="s">
        <v>600</v>
      </c>
      <c r="G72" t="s">
        <v>601</v>
      </c>
      <c r="H72" t="s">
        <v>602</v>
      </c>
      <c r="I72" t="s">
        <v>603</v>
      </c>
      <c r="J72" t="s">
        <v>604</v>
      </c>
      <c r="K72">
        <v>41.940106</v>
      </c>
      <c r="L72">
        <v>-87.645450999999994</v>
      </c>
      <c r="M72">
        <v>41.922167000000002</v>
      </c>
      <c r="N72">
        <v>-87.638887999999994</v>
      </c>
      <c r="O72" t="s">
        <v>200</v>
      </c>
    </row>
    <row r="73" spans="1:15" x14ac:dyDescent="0.3">
      <c r="A73" t="s">
        <v>67</v>
      </c>
      <c r="B73" s="1" t="s">
        <v>683</v>
      </c>
      <c r="C73" t="s">
        <v>291</v>
      </c>
      <c r="D73" t="s">
        <v>244</v>
      </c>
      <c r="E73" t="s">
        <v>292</v>
      </c>
      <c r="F73" t="s">
        <v>293</v>
      </c>
      <c r="G73" t="s">
        <v>294</v>
      </c>
      <c r="H73" t="s">
        <v>295</v>
      </c>
      <c r="I73" t="s">
        <v>296</v>
      </c>
      <c r="J73" t="s">
        <v>297</v>
      </c>
      <c r="K73">
        <v>41.799568000000001</v>
      </c>
      <c r="L73">
        <v>-87.594746999999998</v>
      </c>
      <c r="M73">
        <v>41.809835</v>
      </c>
      <c r="N73">
        <v>-87.599383000000003</v>
      </c>
      <c r="O73" t="s">
        <v>185</v>
      </c>
    </row>
    <row r="74" spans="1:15" x14ac:dyDescent="0.3">
      <c r="A74" t="s">
        <v>29</v>
      </c>
      <c r="B74" s="1" t="s">
        <v>683</v>
      </c>
      <c r="C74" t="s">
        <v>193</v>
      </c>
      <c r="D74" t="s">
        <v>180</v>
      </c>
      <c r="E74" t="s">
        <v>194</v>
      </c>
      <c r="F74" t="s">
        <v>195</v>
      </c>
      <c r="G74" t="s">
        <v>196</v>
      </c>
      <c r="H74" t="s">
        <v>197</v>
      </c>
      <c r="I74" t="s">
        <v>198</v>
      </c>
      <c r="J74" t="s">
        <v>199</v>
      </c>
      <c r="K74">
        <v>41.957879423999998</v>
      </c>
      <c r="L74">
        <v>-87.649583696999997</v>
      </c>
      <c r="M74">
        <v>41.969517000000003</v>
      </c>
      <c r="N74">
        <v>-87.654691</v>
      </c>
      <c r="O74" t="s">
        <v>200</v>
      </c>
    </row>
    <row r="75" spans="1:15" x14ac:dyDescent="0.3">
      <c r="A75" t="s">
        <v>30</v>
      </c>
      <c r="B75" s="1" t="s">
        <v>683</v>
      </c>
      <c r="C75" t="s">
        <v>201</v>
      </c>
      <c r="D75" t="s">
        <v>180</v>
      </c>
      <c r="E75" t="s">
        <v>202</v>
      </c>
      <c r="F75" t="s">
        <v>203</v>
      </c>
      <c r="G75" t="s">
        <v>204</v>
      </c>
      <c r="H75" t="s">
        <v>205</v>
      </c>
      <c r="K75">
        <v>41.97</v>
      </c>
      <c r="L75">
        <v>-87.71</v>
      </c>
      <c r="M75">
        <v>41.95</v>
      </c>
      <c r="N75">
        <v>-87.71</v>
      </c>
      <c r="O75" t="s">
        <v>185</v>
      </c>
    </row>
    <row r="76" spans="1:15" x14ac:dyDescent="0.3">
      <c r="A76" t="s">
        <v>163</v>
      </c>
      <c r="B76" s="1" t="s">
        <v>683</v>
      </c>
      <c r="C76" t="s">
        <v>629</v>
      </c>
      <c r="D76" t="s">
        <v>180</v>
      </c>
      <c r="E76" t="s">
        <v>630</v>
      </c>
      <c r="F76" t="s">
        <v>631</v>
      </c>
      <c r="K76">
        <v>41.87</v>
      </c>
      <c r="L76">
        <v>-87.65</v>
      </c>
      <c r="M76">
        <v>41.93</v>
      </c>
      <c r="N76">
        <v>-87.68</v>
      </c>
      <c r="O76" t="s">
        <v>185</v>
      </c>
    </row>
    <row r="77" spans="1:15" x14ac:dyDescent="0.3">
      <c r="A77" t="s">
        <v>159</v>
      </c>
      <c r="B77" s="1" t="s">
        <v>683</v>
      </c>
      <c r="C77" t="s">
        <v>610</v>
      </c>
      <c r="D77" t="s">
        <v>180</v>
      </c>
      <c r="E77" t="s">
        <v>611</v>
      </c>
      <c r="F77" t="s">
        <v>612</v>
      </c>
      <c r="G77" t="s">
        <v>613</v>
      </c>
      <c r="H77" t="s">
        <v>614</v>
      </c>
      <c r="K77">
        <v>41.939481854</v>
      </c>
      <c r="L77">
        <v>-87.663848400000006</v>
      </c>
      <c r="M77">
        <v>41.94</v>
      </c>
      <c r="N77">
        <v>-87.69</v>
      </c>
      <c r="O77" t="s">
        <v>185</v>
      </c>
    </row>
    <row r="78" spans="1:15" x14ac:dyDescent="0.3">
      <c r="A78" t="s">
        <v>93</v>
      </c>
      <c r="B78" s="1" t="s">
        <v>683</v>
      </c>
      <c r="C78" t="s">
        <v>337</v>
      </c>
      <c r="D78" t="s">
        <v>180</v>
      </c>
      <c r="E78" t="s">
        <v>338</v>
      </c>
      <c r="F78" t="s">
        <v>339</v>
      </c>
      <c r="K78">
        <v>41.94</v>
      </c>
      <c r="L78">
        <v>-87.65</v>
      </c>
      <c r="M78">
        <v>41.94</v>
      </c>
      <c r="N78">
        <v>-87.65</v>
      </c>
      <c r="O78" t="s">
        <v>185</v>
      </c>
    </row>
    <row r="79" spans="1:15" x14ac:dyDescent="0.3">
      <c r="A79" t="s">
        <v>132</v>
      </c>
      <c r="B79" s="1" t="s">
        <v>683</v>
      </c>
      <c r="C79" t="s">
        <v>500</v>
      </c>
      <c r="D79" t="s">
        <v>244</v>
      </c>
      <c r="E79" t="s">
        <v>501</v>
      </c>
      <c r="F79" t="s">
        <v>502</v>
      </c>
      <c r="G79" t="s">
        <v>503</v>
      </c>
      <c r="H79" t="s">
        <v>504</v>
      </c>
      <c r="I79" t="s">
        <v>505</v>
      </c>
      <c r="J79" t="s">
        <v>506</v>
      </c>
      <c r="K79">
        <v>41.89841768945</v>
      </c>
      <c r="L79">
        <v>-87.686596016400003</v>
      </c>
      <c r="M79">
        <v>41.891578000000003</v>
      </c>
      <c r="N79">
        <v>-87.648383999999993</v>
      </c>
      <c r="O79" t="s">
        <v>185</v>
      </c>
    </row>
    <row r="80" spans="1:15" x14ac:dyDescent="0.3">
      <c r="A80" t="s">
        <v>64</v>
      </c>
      <c r="B80" s="1" t="s">
        <v>683</v>
      </c>
      <c r="C80" t="s">
        <v>274</v>
      </c>
      <c r="D80" t="s">
        <v>180</v>
      </c>
      <c r="E80" t="s">
        <v>275</v>
      </c>
      <c r="F80" t="s">
        <v>276</v>
      </c>
      <c r="G80" t="s">
        <v>277</v>
      </c>
      <c r="H80" t="s">
        <v>278</v>
      </c>
      <c r="K80">
        <v>41.884511333333343</v>
      </c>
      <c r="L80">
        <v>-87.631550333333337</v>
      </c>
      <c r="M80">
        <v>41.93</v>
      </c>
      <c r="N80">
        <v>-87.64</v>
      </c>
      <c r="O80" t="s">
        <v>185</v>
      </c>
    </row>
    <row r="81" spans="1:15" x14ac:dyDescent="0.3">
      <c r="A81" t="s">
        <v>149</v>
      </c>
      <c r="B81" s="1" t="s">
        <v>683</v>
      </c>
      <c r="C81" t="s">
        <v>568</v>
      </c>
      <c r="D81" t="s">
        <v>244</v>
      </c>
      <c r="E81" t="s">
        <v>569</v>
      </c>
      <c r="F81" t="s">
        <v>570</v>
      </c>
      <c r="G81" t="s">
        <v>571</v>
      </c>
      <c r="H81" t="s">
        <v>572</v>
      </c>
      <c r="I81" t="s">
        <v>573</v>
      </c>
      <c r="J81" t="s">
        <v>574</v>
      </c>
      <c r="K81">
        <v>41.931247999999997</v>
      </c>
      <c r="L81">
        <v>-87.644335999999996</v>
      </c>
      <c r="M81">
        <v>41.925566000000003</v>
      </c>
      <c r="N81">
        <v>-87.658416000000003</v>
      </c>
      <c r="O81" t="s">
        <v>185</v>
      </c>
    </row>
    <row r="82" spans="1:15" x14ac:dyDescent="0.3">
      <c r="A82" t="s">
        <v>63</v>
      </c>
      <c r="B82" s="1" t="s">
        <v>683</v>
      </c>
      <c r="C82" t="s">
        <v>267</v>
      </c>
      <c r="D82" t="s">
        <v>180</v>
      </c>
      <c r="E82" t="s">
        <v>268</v>
      </c>
      <c r="F82" t="s">
        <v>269</v>
      </c>
      <c r="G82" t="s">
        <v>270</v>
      </c>
      <c r="H82" t="s">
        <v>271</v>
      </c>
      <c r="I82" t="s">
        <v>272</v>
      </c>
      <c r="J82" t="s">
        <v>273</v>
      </c>
      <c r="K82">
        <v>41.888641</v>
      </c>
      <c r="L82">
        <v>-87.644414999999995</v>
      </c>
      <c r="M82">
        <v>41.92154</v>
      </c>
      <c r="N82">
        <v>-87.653818000000001</v>
      </c>
      <c r="O82" t="s">
        <v>185</v>
      </c>
    </row>
    <row r="83" spans="1:15" x14ac:dyDescent="0.3">
      <c r="A83" t="s">
        <v>169</v>
      </c>
      <c r="B83" s="1" t="s">
        <v>683</v>
      </c>
      <c r="C83" t="s">
        <v>654</v>
      </c>
      <c r="D83" t="s">
        <v>180</v>
      </c>
      <c r="E83" t="s">
        <v>655</v>
      </c>
      <c r="F83" t="s">
        <v>656</v>
      </c>
      <c r="G83" t="s">
        <v>477</v>
      </c>
      <c r="H83" t="s">
        <v>657</v>
      </c>
      <c r="I83" t="s">
        <v>477</v>
      </c>
      <c r="J83" t="s">
        <v>657</v>
      </c>
      <c r="K83">
        <v>41.952867865999998</v>
      </c>
      <c r="L83">
        <v>-87.650034903999995</v>
      </c>
      <c r="M83">
        <v>41.952832999999998</v>
      </c>
      <c r="N83">
        <v>-87.649992999999995</v>
      </c>
      <c r="O83" t="s">
        <v>185</v>
      </c>
    </row>
    <row r="84" spans="1:15" x14ac:dyDescent="0.3">
      <c r="A84" t="s">
        <v>57</v>
      </c>
      <c r="B84" s="1" t="s">
        <v>683</v>
      </c>
      <c r="C84" t="s">
        <v>240</v>
      </c>
      <c r="D84" t="s">
        <v>180</v>
      </c>
      <c r="E84" t="s">
        <v>241</v>
      </c>
      <c r="F84" t="s">
        <v>242</v>
      </c>
      <c r="K84">
        <v>41.92</v>
      </c>
      <c r="L84">
        <v>-87.66</v>
      </c>
      <c r="M84">
        <v>41.89</v>
      </c>
      <c r="N84">
        <v>-87.64</v>
      </c>
      <c r="O84" t="s">
        <v>185</v>
      </c>
    </row>
    <row r="85" spans="1:15" x14ac:dyDescent="0.3">
      <c r="A85" t="s">
        <v>68</v>
      </c>
      <c r="B85" s="1" t="s">
        <v>685</v>
      </c>
      <c r="C85" t="s">
        <v>298</v>
      </c>
      <c r="D85" t="s">
        <v>180</v>
      </c>
      <c r="E85" t="s">
        <v>299</v>
      </c>
      <c r="F85" t="s">
        <v>300</v>
      </c>
      <c r="G85" t="s">
        <v>301</v>
      </c>
      <c r="H85" t="s">
        <v>302</v>
      </c>
      <c r="I85" t="s">
        <v>303</v>
      </c>
      <c r="J85" t="s">
        <v>304</v>
      </c>
      <c r="K85">
        <v>41.902936500000003</v>
      </c>
      <c r="L85">
        <v>-87.634440166666664</v>
      </c>
      <c r="M85">
        <v>41.889176832579999</v>
      </c>
      <c r="N85">
        <v>-87.638505771799998</v>
      </c>
      <c r="O85" t="s">
        <v>185</v>
      </c>
    </row>
    <row r="86" spans="1:15" x14ac:dyDescent="0.3">
      <c r="A86" t="s">
        <v>135</v>
      </c>
      <c r="B86" s="1" t="s">
        <v>685</v>
      </c>
      <c r="C86" t="s">
        <v>521</v>
      </c>
      <c r="D86" t="s">
        <v>244</v>
      </c>
      <c r="E86" t="s">
        <v>522</v>
      </c>
      <c r="F86" t="s">
        <v>523</v>
      </c>
      <c r="G86" t="s">
        <v>486</v>
      </c>
      <c r="H86" t="s">
        <v>524</v>
      </c>
      <c r="I86" t="s">
        <v>461</v>
      </c>
      <c r="J86" t="s">
        <v>525</v>
      </c>
      <c r="K86">
        <v>41.883984064726498</v>
      </c>
      <c r="L86">
        <v>-87.624683976173401</v>
      </c>
      <c r="M86">
        <v>41.891466000000001</v>
      </c>
      <c r="N86">
        <v>-87.626761000000002</v>
      </c>
      <c r="O86" t="s">
        <v>185</v>
      </c>
    </row>
    <row r="87" spans="1:15" x14ac:dyDescent="0.3">
      <c r="A87" t="s">
        <v>154</v>
      </c>
      <c r="B87" s="1" t="s">
        <v>685</v>
      </c>
      <c r="C87" t="s">
        <v>591</v>
      </c>
      <c r="D87" t="s">
        <v>180</v>
      </c>
      <c r="E87" t="s">
        <v>592</v>
      </c>
      <c r="F87" t="s">
        <v>593</v>
      </c>
      <c r="K87">
        <v>41.91</v>
      </c>
      <c r="L87">
        <v>-87.64</v>
      </c>
      <c r="M87">
        <v>41.91</v>
      </c>
      <c r="N87">
        <v>-87.64</v>
      </c>
      <c r="O87" t="s">
        <v>185</v>
      </c>
    </row>
    <row r="88" spans="1:15" x14ac:dyDescent="0.3">
      <c r="A88" t="s">
        <v>33</v>
      </c>
      <c r="B88" s="1" t="s">
        <v>685</v>
      </c>
      <c r="C88" t="s">
        <v>216</v>
      </c>
      <c r="D88" t="s">
        <v>180</v>
      </c>
      <c r="E88" t="s">
        <v>217</v>
      </c>
      <c r="F88" t="s">
        <v>218</v>
      </c>
      <c r="G88" t="s">
        <v>219</v>
      </c>
      <c r="H88" t="s">
        <v>220</v>
      </c>
      <c r="I88" t="s">
        <v>214</v>
      </c>
      <c r="J88" t="s">
        <v>215</v>
      </c>
      <c r="K88">
        <v>41.877721667000003</v>
      </c>
      <c r="L88">
        <v>-87.654958962999999</v>
      </c>
      <c r="M88">
        <v>41.87811890091227</v>
      </c>
      <c r="N88">
        <v>-87.643947601318359</v>
      </c>
      <c r="O88" t="s">
        <v>185</v>
      </c>
    </row>
    <row r="89" spans="1:15" x14ac:dyDescent="0.3">
      <c r="A89" t="s">
        <v>58</v>
      </c>
      <c r="B89" s="1" t="s">
        <v>685</v>
      </c>
      <c r="C89" t="s">
        <v>243</v>
      </c>
      <c r="D89" t="s">
        <v>244</v>
      </c>
      <c r="E89" t="s">
        <v>245</v>
      </c>
      <c r="F89" t="s">
        <v>246</v>
      </c>
      <c r="G89" t="s">
        <v>247</v>
      </c>
      <c r="H89" t="s">
        <v>248</v>
      </c>
      <c r="I89" t="s">
        <v>249</v>
      </c>
      <c r="J89" t="s">
        <v>250</v>
      </c>
      <c r="K89">
        <v>42.010586562839997</v>
      </c>
      <c r="L89">
        <v>-87.662412094800004</v>
      </c>
      <c r="M89">
        <v>42.001043779790002</v>
      </c>
      <c r="N89">
        <v>-87.661198243300007</v>
      </c>
      <c r="O89" t="s">
        <v>200</v>
      </c>
    </row>
    <row r="90" spans="1:15" x14ac:dyDescent="0.3">
      <c r="A90" t="s">
        <v>101</v>
      </c>
      <c r="B90" s="1" t="s">
        <v>685</v>
      </c>
      <c r="C90" t="s">
        <v>371</v>
      </c>
      <c r="D90" t="s">
        <v>180</v>
      </c>
      <c r="E90" t="s">
        <v>372</v>
      </c>
      <c r="F90" t="s">
        <v>373</v>
      </c>
      <c r="K90">
        <v>41.89</v>
      </c>
      <c r="L90">
        <v>-87.65</v>
      </c>
      <c r="M90">
        <v>41.89</v>
      </c>
      <c r="N90">
        <v>-87.65</v>
      </c>
      <c r="O90" t="s">
        <v>200</v>
      </c>
    </row>
    <row r="91" spans="1:15" x14ac:dyDescent="0.3">
      <c r="A91" t="s">
        <v>107</v>
      </c>
      <c r="B91" s="1" t="s">
        <v>685</v>
      </c>
      <c r="C91" t="s">
        <v>401</v>
      </c>
      <c r="D91" t="s">
        <v>180</v>
      </c>
      <c r="E91" t="s">
        <v>402</v>
      </c>
      <c r="F91" t="s">
        <v>403</v>
      </c>
      <c r="K91">
        <v>41.79</v>
      </c>
      <c r="L91">
        <v>-87.6</v>
      </c>
      <c r="M91">
        <v>41.8</v>
      </c>
      <c r="N91">
        <v>-87.59</v>
      </c>
      <c r="O91" t="s">
        <v>200</v>
      </c>
    </row>
    <row r="92" spans="1:15" x14ac:dyDescent="0.3">
      <c r="A92" t="s">
        <v>92</v>
      </c>
      <c r="B92" s="1" t="s">
        <v>685</v>
      </c>
      <c r="C92" t="s">
        <v>330</v>
      </c>
      <c r="D92" t="s">
        <v>180</v>
      </c>
      <c r="E92" t="s">
        <v>331</v>
      </c>
      <c r="F92" t="s">
        <v>332</v>
      </c>
      <c r="G92" t="s">
        <v>333</v>
      </c>
      <c r="H92" t="s">
        <v>334</v>
      </c>
      <c r="I92" t="s">
        <v>335</v>
      </c>
      <c r="J92" t="s">
        <v>336</v>
      </c>
      <c r="K92">
        <v>41.880316999999998</v>
      </c>
      <c r="L92">
        <v>-87.635185000000007</v>
      </c>
      <c r="M92">
        <v>41.915982999999997</v>
      </c>
      <c r="N92">
        <v>-87.677334999999999</v>
      </c>
      <c r="O92" t="s">
        <v>185</v>
      </c>
    </row>
    <row r="93" spans="1:15" x14ac:dyDescent="0.3">
      <c r="A93" t="s">
        <v>151</v>
      </c>
      <c r="B93" s="1" t="s">
        <v>685</v>
      </c>
      <c r="C93" t="s">
        <v>579</v>
      </c>
      <c r="D93" t="s">
        <v>180</v>
      </c>
      <c r="E93" t="s">
        <v>580</v>
      </c>
      <c r="F93" t="s">
        <v>581</v>
      </c>
      <c r="K93">
        <v>41.91</v>
      </c>
      <c r="L93">
        <v>-87.63</v>
      </c>
      <c r="M93">
        <v>41.91</v>
      </c>
      <c r="N93">
        <v>-87.63</v>
      </c>
      <c r="O93" t="s">
        <v>185</v>
      </c>
    </row>
    <row r="94" spans="1:15" x14ac:dyDescent="0.3">
      <c r="A94" t="s">
        <v>131</v>
      </c>
      <c r="B94" s="1" t="s">
        <v>685</v>
      </c>
      <c r="C94" t="s">
        <v>497</v>
      </c>
      <c r="D94" t="s">
        <v>180</v>
      </c>
      <c r="E94" t="s">
        <v>498</v>
      </c>
      <c r="F94" t="s">
        <v>499</v>
      </c>
      <c r="K94">
        <v>41.98</v>
      </c>
      <c r="L94">
        <v>-87.67</v>
      </c>
      <c r="M94">
        <v>41.97</v>
      </c>
      <c r="N94">
        <v>-87.66</v>
      </c>
      <c r="O94" t="s">
        <v>185</v>
      </c>
    </row>
    <row r="95" spans="1:15" x14ac:dyDescent="0.3">
      <c r="A95" t="s">
        <v>111</v>
      </c>
      <c r="B95" s="1" t="s">
        <v>685</v>
      </c>
      <c r="C95" t="s">
        <v>419</v>
      </c>
      <c r="D95" t="s">
        <v>244</v>
      </c>
      <c r="E95" t="s">
        <v>420</v>
      </c>
      <c r="F95" t="s">
        <v>421</v>
      </c>
      <c r="G95" t="s">
        <v>422</v>
      </c>
      <c r="H95" t="s">
        <v>423</v>
      </c>
      <c r="I95" t="s">
        <v>424</v>
      </c>
      <c r="J95" t="s">
        <v>425</v>
      </c>
      <c r="K95">
        <v>41.914610000000003</v>
      </c>
      <c r="L95">
        <v>-87.667968000000002</v>
      </c>
      <c r="M95">
        <v>41.917805000000001</v>
      </c>
      <c r="N95">
        <v>-87.682436999999993</v>
      </c>
      <c r="O95" t="s">
        <v>185</v>
      </c>
    </row>
    <row r="96" spans="1:15" x14ac:dyDescent="0.3">
      <c r="A96" t="s">
        <v>123</v>
      </c>
      <c r="B96" s="1" t="s">
        <v>685</v>
      </c>
      <c r="C96" t="s">
        <v>463</v>
      </c>
      <c r="D96" t="s">
        <v>244</v>
      </c>
      <c r="E96" t="s">
        <v>464</v>
      </c>
      <c r="F96" t="s">
        <v>465</v>
      </c>
      <c r="G96" t="s">
        <v>466</v>
      </c>
      <c r="H96" t="s">
        <v>467</v>
      </c>
      <c r="I96" t="s">
        <v>429</v>
      </c>
      <c r="J96" t="s">
        <v>468</v>
      </c>
      <c r="K96">
        <v>41.9364968219</v>
      </c>
      <c r="L96">
        <v>-87.647538658200006</v>
      </c>
      <c r="M96">
        <v>41.943631500000002</v>
      </c>
      <c r="N96">
        <v>-87.649083300000001</v>
      </c>
      <c r="O96" t="s">
        <v>185</v>
      </c>
    </row>
    <row r="97" spans="1:15" x14ac:dyDescent="0.3">
      <c r="A97" t="s">
        <v>130</v>
      </c>
      <c r="B97" s="1" t="s">
        <v>682</v>
      </c>
      <c r="C97" t="s">
        <v>490</v>
      </c>
      <c r="D97" t="s">
        <v>244</v>
      </c>
      <c r="E97" t="s">
        <v>491</v>
      </c>
      <c r="F97" t="s">
        <v>492</v>
      </c>
      <c r="G97" t="s">
        <v>493</v>
      </c>
      <c r="H97" t="s">
        <v>494</v>
      </c>
      <c r="I97" t="s">
        <v>495</v>
      </c>
      <c r="J97" t="s">
        <v>496</v>
      </c>
      <c r="K97">
        <v>41.795211999999999</v>
      </c>
      <c r="L97">
        <v>-87.580714999999998</v>
      </c>
      <c r="M97">
        <v>41.795264000000003</v>
      </c>
      <c r="N97">
        <v>-87.596470999999994</v>
      </c>
      <c r="O97" t="s">
        <v>200</v>
      </c>
    </row>
    <row r="98" spans="1:15" x14ac:dyDescent="0.3">
      <c r="A98" t="s">
        <v>130</v>
      </c>
      <c r="B98" s="1" t="s">
        <v>682</v>
      </c>
      <c r="C98" t="s">
        <v>621</v>
      </c>
      <c r="D98" t="s">
        <v>180</v>
      </c>
      <c r="E98" t="s">
        <v>622</v>
      </c>
      <c r="F98" t="s">
        <v>623</v>
      </c>
      <c r="G98" t="s">
        <v>346</v>
      </c>
      <c r="H98" t="s">
        <v>347</v>
      </c>
      <c r="I98" t="s">
        <v>624</v>
      </c>
      <c r="J98" t="s">
        <v>625</v>
      </c>
      <c r="K98">
        <v>41.929147481999998</v>
      </c>
      <c r="L98">
        <v>-87.649152756000007</v>
      </c>
      <c r="M98">
        <v>41.939743</v>
      </c>
      <c r="N98">
        <v>-87.658865000000006</v>
      </c>
      <c r="O98" t="s">
        <v>185</v>
      </c>
    </row>
    <row r="99" spans="1:15" x14ac:dyDescent="0.3">
      <c r="A99" t="s">
        <v>109</v>
      </c>
      <c r="B99" s="1" t="s">
        <v>682</v>
      </c>
      <c r="C99" t="s">
        <v>409</v>
      </c>
      <c r="D99" t="s">
        <v>244</v>
      </c>
      <c r="E99" t="s">
        <v>410</v>
      </c>
      <c r="F99" t="s">
        <v>411</v>
      </c>
      <c r="G99" t="s">
        <v>412</v>
      </c>
      <c r="H99" t="s">
        <v>413</v>
      </c>
      <c r="I99" t="s">
        <v>414</v>
      </c>
      <c r="J99" t="s">
        <v>415</v>
      </c>
      <c r="K99">
        <v>41.891795000000002</v>
      </c>
      <c r="L99">
        <v>-87.658750999999995</v>
      </c>
      <c r="M99">
        <v>41.902973000000003</v>
      </c>
      <c r="N99">
        <v>-87.631280000000004</v>
      </c>
      <c r="O99" t="s">
        <v>185</v>
      </c>
    </row>
    <row r="100" spans="1:15" x14ac:dyDescent="0.3">
      <c r="A100" t="s">
        <v>142</v>
      </c>
      <c r="B100" s="1" t="s">
        <v>682</v>
      </c>
      <c r="C100" t="s">
        <v>544</v>
      </c>
      <c r="D100" t="s">
        <v>180</v>
      </c>
      <c r="E100" t="s">
        <v>545</v>
      </c>
      <c r="F100" t="s">
        <v>546</v>
      </c>
      <c r="I100" t="s">
        <v>440</v>
      </c>
      <c r="J100" t="s">
        <v>547</v>
      </c>
      <c r="K100">
        <v>41.86</v>
      </c>
      <c r="L100">
        <v>-87.68</v>
      </c>
      <c r="M100">
        <v>41.914026712729999</v>
      </c>
      <c r="N100">
        <v>-87.705126461999996</v>
      </c>
      <c r="O100" t="s">
        <v>185</v>
      </c>
    </row>
    <row r="101" spans="1:15" x14ac:dyDescent="0.3">
      <c r="A101" t="s">
        <v>28</v>
      </c>
      <c r="B101" s="1" t="s">
        <v>682</v>
      </c>
      <c r="C101" t="s">
        <v>186</v>
      </c>
      <c r="D101" t="s">
        <v>180</v>
      </c>
      <c r="E101" t="s">
        <v>187</v>
      </c>
      <c r="F101" t="s">
        <v>188</v>
      </c>
      <c r="G101" t="s">
        <v>189</v>
      </c>
      <c r="H101" t="s">
        <v>190</v>
      </c>
      <c r="I101" t="s">
        <v>191</v>
      </c>
      <c r="J101" t="s">
        <v>192</v>
      </c>
      <c r="K101">
        <v>41.87947235235</v>
      </c>
      <c r="L101">
        <v>-87.625688605899995</v>
      </c>
      <c r="M101">
        <v>41.881859328038232</v>
      </c>
      <c r="N101">
        <v>-87.649263739585876</v>
      </c>
      <c r="O101" t="s">
        <v>185</v>
      </c>
    </row>
    <row r="102" spans="1:15" x14ac:dyDescent="0.3">
      <c r="A102" t="s">
        <v>32</v>
      </c>
      <c r="B102" s="1" t="s">
        <v>682</v>
      </c>
      <c r="C102" t="s">
        <v>209</v>
      </c>
      <c r="D102" t="s">
        <v>180</v>
      </c>
      <c r="E102" t="s">
        <v>210</v>
      </c>
      <c r="F102" t="s">
        <v>211</v>
      </c>
      <c r="G102" t="s">
        <v>212</v>
      </c>
      <c r="H102" t="s">
        <v>213</v>
      </c>
      <c r="I102" t="s">
        <v>214</v>
      </c>
      <c r="J102" t="s">
        <v>215</v>
      </c>
      <c r="K102">
        <v>41.892394452962712</v>
      </c>
      <c r="L102">
        <v>-87.67688512802124</v>
      </c>
      <c r="M102">
        <v>41.87811890091227</v>
      </c>
      <c r="N102">
        <v>-87.643947601318359</v>
      </c>
      <c r="O102" t="s">
        <v>185</v>
      </c>
    </row>
    <row r="103" spans="1:15" x14ac:dyDescent="0.3">
      <c r="A103" t="s">
        <v>99</v>
      </c>
      <c r="B103" s="1" t="s">
        <v>682</v>
      </c>
      <c r="C103" t="s">
        <v>362</v>
      </c>
      <c r="D103" t="s">
        <v>244</v>
      </c>
      <c r="E103" t="s">
        <v>363</v>
      </c>
      <c r="F103" t="s">
        <v>364</v>
      </c>
      <c r="G103" t="s">
        <v>365</v>
      </c>
      <c r="H103" t="s">
        <v>366</v>
      </c>
      <c r="I103" t="s">
        <v>303</v>
      </c>
      <c r="J103" t="s">
        <v>367</v>
      </c>
      <c r="K103">
        <v>41.898969000000001</v>
      </c>
      <c r="L103">
        <v>-87.629912000000004</v>
      </c>
      <c r="M103">
        <v>41.889176832579999</v>
      </c>
      <c r="N103">
        <v>-87.638505771799998</v>
      </c>
      <c r="O103" t="s">
        <v>185</v>
      </c>
    </row>
    <row r="104" spans="1:15" x14ac:dyDescent="0.3">
      <c r="A104" t="s">
        <v>65</v>
      </c>
      <c r="B104" s="1" t="s">
        <v>682</v>
      </c>
      <c r="C104" t="s">
        <v>279</v>
      </c>
      <c r="D104" t="s">
        <v>244</v>
      </c>
      <c r="E104" t="s">
        <v>280</v>
      </c>
      <c r="F104" t="s">
        <v>281</v>
      </c>
      <c r="G104" t="s">
        <v>282</v>
      </c>
      <c r="H104" t="s">
        <v>283</v>
      </c>
      <c r="I104" t="s">
        <v>284</v>
      </c>
      <c r="J104" t="s">
        <v>285</v>
      </c>
      <c r="K104">
        <v>41.822985000000003</v>
      </c>
      <c r="L104">
        <v>-87.607100000000003</v>
      </c>
      <c r="M104">
        <v>41.809854999999999</v>
      </c>
      <c r="N104">
        <v>-87.606755000000007</v>
      </c>
      <c r="O104" t="s">
        <v>185</v>
      </c>
    </row>
    <row r="105" spans="1:15" x14ac:dyDescent="0.3">
      <c r="A105" t="s">
        <v>61</v>
      </c>
      <c r="B105" s="1" t="s">
        <v>682</v>
      </c>
      <c r="C105" t="s">
        <v>259</v>
      </c>
      <c r="D105" t="s">
        <v>180</v>
      </c>
      <c r="E105" t="s">
        <v>260</v>
      </c>
      <c r="F105" t="s">
        <v>261</v>
      </c>
      <c r="K105">
        <v>41.95</v>
      </c>
      <c r="L105">
        <v>-87.64</v>
      </c>
      <c r="M105">
        <v>41.89</v>
      </c>
      <c r="N105">
        <v>-87.61</v>
      </c>
      <c r="O105" t="s">
        <v>200</v>
      </c>
    </row>
    <row r="106" spans="1:15" x14ac:dyDescent="0.3">
      <c r="A106" t="s">
        <v>166</v>
      </c>
      <c r="B106" s="1" t="s">
        <v>682</v>
      </c>
      <c r="C106" t="s">
        <v>642</v>
      </c>
      <c r="D106" t="s">
        <v>180</v>
      </c>
      <c r="E106" t="s">
        <v>643</v>
      </c>
      <c r="F106" t="s">
        <v>644</v>
      </c>
      <c r="K106">
        <v>41.95</v>
      </c>
      <c r="L106">
        <v>-87.67</v>
      </c>
      <c r="M106">
        <v>41.95</v>
      </c>
      <c r="N106">
        <v>-87.65</v>
      </c>
      <c r="O106" t="s">
        <v>185</v>
      </c>
    </row>
    <row r="107" spans="1:15" x14ac:dyDescent="0.3">
      <c r="A107" t="s">
        <v>106</v>
      </c>
      <c r="B107" s="1" t="s">
        <v>682</v>
      </c>
      <c r="C107" t="s">
        <v>395</v>
      </c>
      <c r="D107" t="s">
        <v>244</v>
      </c>
      <c r="E107" t="s">
        <v>396</v>
      </c>
      <c r="F107" s="8">
        <v>45944.336211377318</v>
      </c>
      <c r="G107" t="s">
        <v>397</v>
      </c>
      <c r="H107" t="s">
        <v>398</v>
      </c>
      <c r="I107" t="s">
        <v>399</v>
      </c>
      <c r="J107" t="s">
        <v>400</v>
      </c>
      <c r="K107">
        <v>41.928887000000003</v>
      </c>
      <c r="L107">
        <v>-87.658970999999994</v>
      </c>
      <c r="M107">
        <v>41.892592119709732</v>
      </c>
      <c r="N107">
        <v>-87.617289125919342</v>
      </c>
      <c r="O107" t="s">
        <v>185</v>
      </c>
    </row>
    <row r="108" spans="1:15" x14ac:dyDescent="0.3">
      <c r="A108" t="s">
        <v>161</v>
      </c>
      <c r="B108" s="1" t="s">
        <v>682</v>
      </c>
      <c r="C108" t="s">
        <v>618</v>
      </c>
      <c r="D108" t="s">
        <v>180</v>
      </c>
      <c r="E108" t="s">
        <v>619</v>
      </c>
      <c r="F108" t="s">
        <v>620</v>
      </c>
      <c r="K108">
        <v>41.9</v>
      </c>
      <c r="L108">
        <v>-87.64</v>
      </c>
      <c r="M108">
        <v>41.91</v>
      </c>
      <c r="N108">
        <v>-87.64</v>
      </c>
      <c r="O108" t="s">
        <v>200</v>
      </c>
    </row>
    <row r="109" spans="1:15" x14ac:dyDescent="0.3">
      <c r="A109" t="s">
        <v>125</v>
      </c>
      <c r="B109" s="1" t="s">
        <v>682</v>
      </c>
      <c r="C109" t="s">
        <v>472</v>
      </c>
      <c r="D109" t="s">
        <v>244</v>
      </c>
      <c r="E109" t="s">
        <v>473</v>
      </c>
      <c r="F109" t="s">
        <v>474</v>
      </c>
      <c r="G109" t="s">
        <v>475</v>
      </c>
      <c r="H109" t="s">
        <v>476</v>
      </c>
      <c r="I109" t="s">
        <v>477</v>
      </c>
      <c r="J109" t="s">
        <v>478</v>
      </c>
      <c r="K109">
        <v>41.961669999999998</v>
      </c>
      <c r="L109">
        <v>-87.654640000000001</v>
      </c>
      <c r="M109">
        <v>41.952832999999998</v>
      </c>
      <c r="N109">
        <v>-87.649992999999995</v>
      </c>
      <c r="O109" t="s">
        <v>185</v>
      </c>
    </row>
    <row r="110" spans="1:15" x14ac:dyDescent="0.3">
      <c r="A110" t="s">
        <v>157</v>
      </c>
      <c r="B110" s="1" t="s">
        <v>686</v>
      </c>
      <c r="C110" t="s">
        <v>605</v>
      </c>
      <c r="D110" t="s">
        <v>180</v>
      </c>
      <c r="E110" t="s">
        <v>606</v>
      </c>
      <c r="F110" t="s">
        <v>607</v>
      </c>
      <c r="K110">
        <v>41.89</v>
      </c>
      <c r="L110">
        <v>-87.62</v>
      </c>
      <c r="M110">
        <v>41.89</v>
      </c>
      <c r="N110">
        <v>-87.62</v>
      </c>
      <c r="O110" t="s">
        <v>185</v>
      </c>
    </row>
    <row r="111" spans="1:15" x14ac:dyDescent="0.3">
      <c r="A111" t="s">
        <v>167</v>
      </c>
      <c r="B111" s="1" t="s">
        <v>686</v>
      </c>
      <c r="C111" t="s">
        <v>645</v>
      </c>
      <c r="D111" t="s">
        <v>244</v>
      </c>
      <c r="E111" t="s">
        <v>646</v>
      </c>
      <c r="F111" t="s">
        <v>647</v>
      </c>
      <c r="G111" t="s">
        <v>453</v>
      </c>
      <c r="H111" t="s">
        <v>648</v>
      </c>
      <c r="I111" t="s">
        <v>226</v>
      </c>
      <c r="J111" t="s">
        <v>649</v>
      </c>
      <c r="K111">
        <v>41.871737000000003</v>
      </c>
      <c r="L111">
        <v>-87.651030000000006</v>
      </c>
      <c r="M111">
        <v>41.872228732240323</v>
      </c>
      <c r="N111">
        <v>-87.661363855004311</v>
      </c>
      <c r="O111" t="s">
        <v>185</v>
      </c>
    </row>
    <row r="112" spans="1:15" x14ac:dyDescent="0.3">
      <c r="A112" t="s">
        <v>59</v>
      </c>
      <c r="B112" s="1" t="s">
        <v>686</v>
      </c>
      <c r="C112" t="s">
        <v>251</v>
      </c>
      <c r="D112" t="s">
        <v>180</v>
      </c>
      <c r="E112" t="s">
        <v>252</v>
      </c>
      <c r="F112" t="s">
        <v>253</v>
      </c>
      <c r="K112">
        <v>41.91</v>
      </c>
      <c r="L112">
        <v>-87.66</v>
      </c>
      <c r="M112">
        <v>41.88</v>
      </c>
      <c r="N112">
        <v>-87.63</v>
      </c>
      <c r="O112" t="s">
        <v>185</v>
      </c>
    </row>
    <row r="113" spans="1:15" x14ac:dyDescent="0.3">
      <c r="A113" t="s">
        <v>129</v>
      </c>
      <c r="B113" s="1" t="s">
        <v>686</v>
      </c>
      <c r="C113" t="s">
        <v>487</v>
      </c>
      <c r="D113" t="s">
        <v>180</v>
      </c>
      <c r="E113" t="s">
        <v>488</v>
      </c>
      <c r="F113" t="s">
        <v>489</v>
      </c>
      <c r="K113">
        <v>41.89</v>
      </c>
      <c r="L113">
        <v>-87.62</v>
      </c>
      <c r="M113">
        <v>41.9</v>
      </c>
      <c r="N113">
        <v>-87.64</v>
      </c>
      <c r="O113" t="s">
        <v>200</v>
      </c>
    </row>
  </sheetData>
  <autoFilter ref="A1:O113" xr:uid="{00000000-0001-0000-0200-000000000000}">
    <sortState xmlns:xlrd2="http://schemas.microsoft.com/office/spreadsheetml/2017/richdata2" ref="A2:O113">
      <sortCondition ref="B2:B113"/>
      <sortCondition ref="A2:A11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columnnames</vt:lpstr>
      <vt:lpstr>compare</vt:lpstr>
      <vt:lpstr>datatypes</vt:lpstr>
      <vt:lpstr>datasample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Younggi Kim</cp:lastModifiedBy>
  <dcterms:created xsi:type="dcterms:W3CDTF">2026-07-19T03:46:11Z</dcterms:created>
  <dcterms:modified xsi:type="dcterms:W3CDTF">2026-08-07T15:28:39Z</dcterms:modified>
</cp:coreProperties>
</file>